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BIDA (External)\38a AI for Formulas in Excel\Student Files\"/>
    </mc:Choice>
  </mc:AlternateContent>
  <xr:revisionPtr revIDLastSave="0" documentId="13_ncr:1_{75B0D68F-FD42-49BA-A0D2-8E7B116340DB}" xr6:coauthVersionLast="47" xr6:coauthVersionMax="47" xr10:uidLastSave="{00000000-0000-0000-0000-000000000000}"/>
  <bookViews>
    <workbookView xWindow="-120" yWindow="-120" windowWidth="29040" windowHeight="17520" tabRatio="670" xr2:uid="{C02590C8-39F6-4CAF-AACB-3A96115DF928}"/>
  </bookViews>
  <sheets>
    <sheet name="3rd Highest" sheetId="27" r:id="rId1"/>
    <sheet name="IDs - Text Formulas" sheetId="3" r:id="rId2"/>
    <sheet name="Simplify IF" sheetId="26" r:id="rId3"/>
    <sheet name="Simplify Formula" sheetId="19" r:id="rId4"/>
    <sheet name="Conditional SUMPRODUCT" sheetId="11" r:id="rId5"/>
    <sheet name="Date Formulas" sheetId="23" r:id="rId6"/>
    <sheet name="Reference Formulas" sheetId="15" r:id="rId7"/>
    <sheet name="2022 Report" sheetId="7" r:id="rId8"/>
    <sheet name="2023 Report" sheetId="8" r:id="rId9"/>
    <sheet name="2024 Report" sheetId="9" r:id="rId10"/>
  </sheets>
  <definedNames>
    <definedName name="CurrentDate">'Date Formulas'!$B$6</definedName>
    <definedName name="Numbers">'3rd Highest'!$B$6:$B$15</definedName>
    <definedName name="Selected_Year">'Reference Formulas'!$B$11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6" l="1"/>
  <c r="K14" i="19"/>
  <c r="K10" i="19" a="1"/>
  <c r="K10" i="19" s="1"/>
  <c r="G11" i="19" l="1"/>
  <c r="G12" i="19"/>
  <c r="G13" i="19"/>
  <c r="G14" i="19"/>
  <c r="G15" i="19"/>
  <c r="G16" i="19"/>
  <c r="G17" i="19"/>
  <c r="G18" i="19"/>
  <c r="G19" i="19"/>
  <c r="G20" i="19"/>
  <c r="F11" i="26"/>
  <c r="E11" i="26"/>
  <c r="D11" i="26"/>
  <c r="C11" i="26"/>
  <c r="B6" i="23"/>
  <c r="B4" i="9" l="1"/>
  <c r="B3" i="9"/>
  <c r="B4" i="8"/>
  <c r="B3" i="8"/>
  <c r="B4" i="7"/>
  <c r="B3" i="7"/>
  <c r="A6" i="9" a="1"/>
  <c r="A6" i="8" a="1"/>
  <c r="A6" i="7" a="1"/>
  <c r="A6" i="7" l="1"/>
  <c r="A6" i="9"/>
  <c r="A6" i="8"/>
  <c r="F6" i="11" a="1"/>
  <c r="F6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06AB98-BAE4-4A4C-82C5-BDBA13A704A9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</futureMetadata>
  <cellMetadata count="1">
    <bk>
      <rc t="1" v="0"/>
    </bk>
  </cellMetadata>
  <valueMetadata count="11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</valueMetadata>
</metadata>
</file>

<file path=xl/sharedStrings.xml><?xml version="1.0" encoding="utf-8"?>
<sst xmlns="http://schemas.openxmlformats.org/spreadsheetml/2006/main" count="174" uniqueCount="107">
  <si>
    <t>Business Intelligence &amp; Data Analysis</t>
  </si>
  <si>
    <t>Example</t>
  </si>
  <si>
    <t>ID Number</t>
  </si>
  <si>
    <t>Answer</t>
  </si>
  <si>
    <t>AAAA-28388-8376D-XX7832-FMEPRR</t>
  </si>
  <si>
    <t>8376D</t>
  </si>
  <si>
    <t>There are 10 IDs in column B.</t>
  </si>
  <si>
    <t>Each ID has 5 parts, separated with hyphens "-".</t>
  </si>
  <si>
    <t>W9HT6-BUC-5WJ-Z7NV98-802</t>
  </si>
  <si>
    <t>F5B9O-KXEPQ-0Z6A24-REJXH0-0DJ</t>
  </si>
  <si>
    <t>G9Y9-30W-W7DKO1-TZ53-AQRYD6</t>
  </si>
  <si>
    <t>Y0Y-EXW-KZSIF-90T-N2S</t>
  </si>
  <si>
    <t>H9DN-QV9HN-PNFP-7K6NMS-D99C1</t>
  </si>
  <si>
    <t>JNEWCN-P7ORBZ-QRX-8RO-EK4C2Z</t>
  </si>
  <si>
    <t>2VM-G5R-W2SZ-VWJ-DJQ</t>
  </si>
  <si>
    <t>D3I57Y-W3YU0Q-7PQ3J-H7Z0O-B53KT4</t>
  </si>
  <si>
    <t>Z46RCH-FBKF3H-QJF-21HR8-Y5PP</t>
  </si>
  <si>
    <t>HXHY-R6LYBV-E50GV-5KYG-LJJO6U</t>
  </si>
  <si>
    <t>Answers</t>
  </si>
  <si>
    <t>All Values</t>
  </si>
  <si>
    <t>AAPL</t>
  </si>
  <si>
    <t>Wage</t>
  </si>
  <si>
    <t>Hours Worked</t>
  </si>
  <si>
    <t>Paid By</t>
  </si>
  <si>
    <t>Company</t>
  </si>
  <si>
    <t>External</t>
  </si>
  <si>
    <t>Start Date</t>
  </si>
  <si>
    <t>End Date</t>
  </si>
  <si>
    <t>Ticker</t>
  </si>
  <si>
    <t>Report Year</t>
  </si>
  <si>
    <t>Date</t>
  </si>
  <si>
    <t>Open</t>
  </si>
  <si>
    <t>Close</t>
  </si>
  <si>
    <t>Volume</t>
  </si>
  <si>
    <t>Year</t>
  </si>
  <si>
    <t>Total Volume Traded</t>
  </si>
  <si>
    <t>Text Extraction</t>
  </si>
  <si>
    <t>Fixing Formulas</t>
  </si>
  <si>
    <t>Combining Data</t>
  </si>
  <si>
    <t>Use the TEXTSPLIT formula if possible for a more efficient solution.</t>
  </si>
  <si>
    <t>Customer Type</t>
  </si>
  <si>
    <t>New</t>
  </si>
  <si>
    <t>Returning</t>
  </si>
  <si>
    <t>Rate</t>
  </si>
  <si>
    <t>Poor</t>
  </si>
  <si>
    <t>Medium</t>
  </si>
  <si>
    <t>High</t>
  </si>
  <si>
    <t>Formula</t>
  </si>
  <si>
    <t>Loan Amount</t>
  </si>
  <si>
    <t>C.Rating</t>
  </si>
  <si>
    <t>Simplifying Formulas</t>
  </si>
  <si>
    <t>Simplified Formula</t>
  </si>
  <si>
    <t>Formula Name</t>
  </si>
  <si>
    <t>Find a simpler method to write the same formula.</t>
  </si>
  <si>
    <t>Give each formula a name based on your understanding of what it is doing.</t>
  </si>
  <si>
    <t>AI Task Description - Use Chat GPT to help you</t>
  </si>
  <si>
    <t>Work out what the two mystery formulas are doing and what they are used for.</t>
  </si>
  <si>
    <t>Customer ID</t>
  </si>
  <si>
    <t>XL34P</t>
  </si>
  <si>
    <t>XL35P</t>
  </si>
  <si>
    <t>XL36P</t>
  </si>
  <si>
    <t>XL37P</t>
  </si>
  <si>
    <t>XL38P</t>
  </si>
  <si>
    <t>XL39P</t>
  </si>
  <si>
    <t>XL40P</t>
  </si>
  <si>
    <t>XL41P</t>
  </si>
  <si>
    <t>XL42P</t>
  </si>
  <si>
    <t>XL43P</t>
  </si>
  <si>
    <t>Email</t>
  </si>
  <si>
    <t>aa@aa.com</t>
  </si>
  <si>
    <t>bb@bb.com</t>
  </si>
  <si>
    <t>cc@cc.com</t>
  </si>
  <si>
    <t>dd@dd.com</t>
  </si>
  <si>
    <t>ee@ee.com</t>
  </si>
  <si>
    <t>ff@ff.com</t>
  </si>
  <si>
    <t>gg@gg.com</t>
  </si>
  <si>
    <t>hh@hh.com</t>
  </si>
  <si>
    <t>ii@ii.com</t>
  </si>
  <si>
    <t>kk@jj.com</t>
  </si>
  <si>
    <t>Total Loaned Amount</t>
  </si>
  <si>
    <t>Total Costs Paid By Company</t>
  </si>
  <si>
    <t>Corrected Formula</t>
  </si>
  <si>
    <t>New Date (YYYY-MM-DD)</t>
  </si>
  <si>
    <t>Current Date (YYYY-MM-DD)</t>
  </si>
  <si>
    <t>New ID</t>
  </si>
  <si>
    <t>Month ID</t>
  </si>
  <si>
    <t>Give the formula a name based on your understanding of what it is doing.</t>
  </si>
  <si>
    <t>Find a simpler method to write each formula.</t>
  </si>
  <si>
    <t>Date Formulas</t>
  </si>
  <si>
    <t>There seems to be an error with the SUMRPRODUCT formula.</t>
  </si>
  <si>
    <t>Correct the formula so that it works.</t>
  </si>
  <si>
    <t>Additionally, make sure you understand why the correct formula works.</t>
  </si>
  <si>
    <t>Numbers</t>
  </si>
  <si>
    <t>3rd Highest Number</t>
  </si>
  <si>
    <t>Write a formula to find the 3rd highest number from the range.</t>
  </si>
  <si>
    <t>Write Formula for 3rd Highest Number</t>
  </si>
  <si>
    <t>There are 3 report sheets with annual stock price data for AAPL.</t>
  </si>
  <si>
    <t>Write a formula in the green cell below that calculates the sum of column D from the chosen year sheet.</t>
  </si>
  <si>
    <t>Write a formula to extract the 3rd part of the ID Number column.</t>
  </si>
  <si>
    <t>In cell B12 below, you can select a chosen year using the drop down.</t>
  </si>
  <si>
    <t>Write a formula that calculates the first working day of the next month. (relative to current date)</t>
  </si>
  <si>
    <t>`</t>
  </si>
  <si>
    <t>Write a formula that returns these numbers as YYYYMM.</t>
  </si>
  <si>
    <t>Ensure the month number always has a leading 0 if necessary.</t>
  </si>
  <si>
    <t>AI for Formulas in Excel</t>
  </si>
  <si>
    <t>Paste this data over mine (as values) if your version of Excel does not support the STOCKHISTORY function.</t>
  </si>
  <si>
    <r>
      <t xml:space="preserve">Work out what the formula in the </t>
    </r>
    <r>
      <rPr>
        <b/>
        <sz val="10"/>
        <color theme="5"/>
        <rFont val="Open Sans"/>
        <family val="2"/>
      </rPr>
      <t>orange</t>
    </r>
    <r>
      <rPr>
        <sz val="10"/>
        <color theme="1"/>
        <rFont val="Open Sans"/>
        <family val="2"/>
      </rPr>
      <t xml:space="preserve"> cell is doing.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</si>
</sst>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/mm"/>
    <numFmt numFmtId="165" formatCode="_-* #,##0_-;\-* #,##0_-;_-* &quot;-&quot;??_-;_-@_-"/>
    <numFmt numFmtId="166" formatCode="yyyy\-mm\-dd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0"/>
      <color theme="0"/>
      <name val="Open Sans"/>
      <family val="2"/>
    </font>
    <font>
      <u/>
      <sz val="11"/>
      <color theme="10"/>
      <name val="Aptos Narrow"/>
      <family val="2"/>
      <scheme val="minor"/>
    </font>
    <font>
      <b/>
      <sz val="10"/>
      <color rgb="FFFFFFFF"/>
      <name val="Open Sans"/>
      <family val="2"/>
    </font>
    <font>
      <sz val="10"/>
      <color rgb="FF000000"/>
      <name val="Open Sans"/>
      <family val="2"/>
    </font>
    <font>
      <sz val="10"/>
      <color theme="1"/>
      <name val="Open Sans"/>
      <family val="2"/>
    </font>
    <font>
      <b/>
      <sz val="10"/>
      <color rgb="FF0A173F"/>
      <name val="Open Sans"/>
      <family val="2"/>
    </font>
    <font>
      <sz val="10"/>
      <color theme="0"/>
      <name val="Open Sans"/>
      <family val="2"/>
    </font>
    <font>
      <b/>
      <sz val="9"/>
      <color rgb="FFFFFFFF"/>
      <name val="Open Sans"/>
      <family val="2"/>
    </font>
    <font>
      <sz val="9"/>
      <color theme="1"/>
      <name val="Open Sans"/>
      <family val="2"/>
    </font>
    <font>
      <sz val="9"/>
      <color rgb="FF000000"/>
      <name val="Open Sans"/>
      <family val="2"/>
    </font>
    <font>
      <b/>
      <sz val="12"/>
      <color rgb="FFFFFFFF"/>
      <name val="Open Sans"/>
      <family val="2"/>
    </font>
    <font>
      <sz val="11"/>
      <color rgb="FF006100"/>
      <name val="Open Sans"/>
      <family val="2"/>
    </font>
    <font>
      <b/>
      <sz val="14"/>
      <color rgb="FFFFFFFF"/>
      <name val="Open Sans"/>
      <family val="2"/>
    </font>
    <font>
      <sz val="11"/>
      <color theme="1"/>
      <name val="Open Sans"/>
      <family val="2"/>
    </font>
    <font>
      <b/>
      <sz val="14"/>
      <color rgb="FF0A173F"/>
      <name val="Open Sans"/>
      <family val="2"/>
    </font>
    <font>
      <sz val="10"/>
      <color rgb="FF006100"/>
      <name val="Open Sans"/>
      <family val="2"/>
    </font>
    <font>
      <u/>
      <sz val="10"/>
      <color theme="10"/>
      <name val="Open Sans"/>
      <family val="2"/>
    </font>
    <font>
      <b/>
      <sz val="10"/>
      <color theme="1"/>
      <name val="Open Sans"/>
      <family val="2"/>
    </font>
    <font>
      <b/>
      <sz val="10"/>
      <color theme="5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A173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right"/>
    </xf>
    <xf numFmtId="43" fontId="0" fillId="0" borderId="0" xfId="1" applyFon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43" fontId="0" fillId="0" borderId="0" xfId="1" applyFont="1" applyAlignment="1">
      <alignment horizontal="right"/>
    </xf>
    <xf numFmtId="3" fontId="0" fillId="0" borderId="0" xfId="0" applyNumberFormat="1"/>
    <xf numFmtId="14" fontId="2" fillId="2" borderId="0" xfId="2" applyNumberFormat="1" applyAlignment="1">
      <alignment horizontal="left"/>
    </xf>
    <xf numFmtId="0" fontId="2" fillId="2" borderId="0" xfId="2"/>
    <xf numFmtId="0" fontId="2" fillId="2" borderId="0" xfId="2" applyAlignment="1">
      <alignment horizontal="right"/>
    </xf>
    <xf numFmtId="164" fontId="0" fillId="0" borderId="0" xfId="0" applyNumberFormat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right"/>
    </xf>
    <xf numFmtId="0" fontId="6" fillId="4" borderId="0" xfId="0" quotePrefix="1" applyFont="1" applyFill="1" applyAlignment="1">
      <alignment vertical="center"/>
    </xf>
    <xf numFmtId="0" fontId="5" fillId="4" borderId="0" xfId="0" applyFont="1" applyFill="1"/>
    <xf numFmtId="0" fontId="5" fillId="4" borderId="0" xfId="0" applyFont="1" applyFill="1" applyAlignment="1">
      <alignment horizontal="right"/>
    </xf>
    <xf numFmtId="0" fontId="7" fillId="0" borderId="0" xfId="0" applyFont="1"/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right" vertical="center"/>
    </xf>
    <xf numFmtId="0" fontId="3" fillId="6" borderId="0" xfId="0" applyFont="1" applyFill="1"/>
    <xf numFmtId="0" fontId="9" fillId="6" borderId="0" xfId="0" applyFont="1" applyFill="1"/>
    <xf numFmtId="0" fontId="7" fillId="0" borderId="1" xfId="0" applyFont="1" applyBorder="1"/>
    <xf numFmtId="0" fontId="3" fillId="6" borderId="0" xfId="0" applyFont="1" applyFill="1" applyAlignment="1">
      <alignment horizontal="right"/>
    </xf>
    <xf numFmtId="0" fontId="10" fillId="3" borderId="0" xfId="0" applyFont="1" applyFill="1"/>
    <xf numFmtId="0" fontId="10" fillId="3" borderId="0" xfId="0" applyFont="1" applyFill="1" applyAlignment="1">
      <alignment horizontal="right"/>
    </xf>
    <xf numFmtId="0" fontId="11" fillId="0" borderId="0" xfId="0" applyFont="1"/>
    <xf numFmtId="0" fontId="12" fillId="4" borderId="0" xfId="0" quotePrefix="1" applyFont="1" applyFill="1" applyAlignment="1">
      <alignment vertical="center"/>
    </xf>
    <xf numFmtId="0" fontId="10" fillId="4" borderId="0" xfId="0" applyFont="1" applyFill="1"/>
    <xf numFmtId="0" fontId="10" fillId="4" borderId="0" xfId="0" applyFont="1" applyFill="1" applyAlignment="1">
      <alignment horizontal="right"/>
    </xf>
    <xf numFmtId="0" fontId="13" fillId="3" borderId="0" xfId="0" applyFont="1" applyFill="1" applyAlignment="1">
      <alignment vertical="center"/>
    </xf>
    <xf numFmtId="165" fontId="7" fillId="0" borderId="1" xfId="1" applyNumberFormat="1" applyFont="1" applyBorder="1"/>
    <xf numFmtId="0" fontId="14" fillId="2" borderId="2" xfId="2" applyFont="1" applyBorder="1" applyAlignment="1">
      <alignment horizontal="right"/>
    </xf>
    <xf numFmtId="0" fontId="15" fillId="3" borderId="0" xfId="0" applyFont="1" applyFill="1"/>
    <xf numFmtId="0" fontId="16" fillId="0" borderId="0" xfId="0" applyFont="1"/>
    <xf numFmtId="0" fontId="15" fillId="3" borderId="0" xfId="0" applyFont="1" applyFill="1" applyAlignment="1">
      <alignment vertical="center"/>
    </xf>
    <xf numFmtId="0" fontId="17" fillId="4" borderId="0" xfId="0" applyFont="1" applyFill="1" applyAlignment="1">
      <alignment horizontal="left" vertical="center"/>
    </xf>
    <xf numFmtId="0" fontId="9" fillId="6" borderId="0" xfId="0" applyFont="1" applyFill="1" applyAlignment="1">
      <alignment horizontal="right"/>
    </xf>
    <xf numFmtId="0" fontId="18" fillId="2" borderId="1" xfId="2" applyFont="1" applyBorder="1" applyAlignment="1">
      <alignment horizontal="right"/>
    </xf>
    <xf numFmtId="0" fontId="19" fillId="0" borderId="0" xfId="3" applyFont="1"/>
    <xf numFmtId="0" fontId="18" fillId="2" borderId="2" xfId="2" applyFont="1" applyBorder="1"/>
    <xf numFmtId="0" fontId="18" fillId="2" borderId="2" xfId="2" applyFont="1" applyBorder="1" applyAlignment="1">
      <alignment horizontal="right"/>
    </xf>
    <xf numFmtId="2" fontId="7" fillId="0" borderId="1" xfId="0" applyNumberFormat="1" applyFont="1" applyBorder="1"/>
    <xf numFmtId="2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2" fontId="18" fillId="2" borderId="0" xfId="2" applyNumberFormat="1" applyFont="1"/>
    <xf numFmtId="0" fontId="20" fillId="0" borderId="0" xfId="0" applyFont="1"/>
    <xf numFmtId="0" fontId="7" fillId="0" borderId="1" xfId="1" applyNumberFormat="1" applyFont="1" applyBorder="1"/>
    <xf numFmtId="14" fontId="18" fillId="2" borderId="1" xfId="2" applyNumberFormat="1" applyFont="1" applyBorder="1" applyAlignment="1">
      <alignment horizontal="right"/>
    </xf>
    <xf numFmtId="0" fontId="20" fillId="5" borderId="0" xfId="0" applyFont="1" applyFill="1"/>
    <xf numFmtId="0" fontId="7" fillId="5" borderId="0" xfId="0" applyFont="1" applyFill="1" applyAlignment="1">
      <alignment horizontal="right"/>
    </xf>
    <xf numFmtId="165" fontId="18" fillId="2" borderId="1" xfId="2" applyNumberFormat="1" applyFont="1" applyBorder="1"/>
    <xf numFmtId="165" fontId="14" fillId="2" borderId="2" xfId="1" applyNumberFormat="1" applyFont="1" applyFill="1" applyBorder="1"/>
    <xf numFmtId="166" fontId="7" fillId="0" borderId="1" xfId="1" applyNumberFormat="1" applyFont="1" applyBorder="1"/>
    <xf numFmtId="166" fontId="18" fillId="2" borderId="1" xfId="2" applyNumberFormat="1" applyFont="1" applyBorder="1"/>
    <xf numFmtId="165" fontId="0" fillId="7" borderId="0" xfId="1" applyNumberFormat="1" applyFont="1" applyFill="1"/>
  </cellXfs>
  <cellStyles count="4">
    <cellStyle name="Comma" xfId="1" builtinId="3"/>
    <cellStyle name="Good" xfId="2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Array" Target="richData/rdarray.xml"/><Relationship Id="rId3" Type="http://schemas.openxmlformats.org/officeDocument/2006/relationships/worksheet" Target="worksheets/sheet3.xml"/><Relationship Id="rId21" Type="http://schemas.microsoft.com/office/2017/06/relationships/rdSupportingPropertyBag" Target="richData/rdsupportingpropertybag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microsoft.com/office/2017/06/relationships/rdSupportingPropertyBagStructure" Target="richData/rdsupportingpropertybag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06/relationships/richStyles" Target="richData/rich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542797</xdr:colOff>
      <xdr:row>0</xdr:row>
      <xdr:rowOff>228601</xdr:rowOff>
    </xdr:from>
    <xdr:to>
      <xdr:col>13</xdr:col>
      <xdr:colOff>38522</xdr:colOff>
      <xdr:row>1</xdr:row>
      <xdr:rowOff>276226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024447-DF6D-4B87-BDE9-FFF85D5E2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8953372" y="228601"/>
          <a:ext cx="714926" cy="342900"/>
        </a:xfrm>
        <a:prstGeom prst="rect">
          <a:avLst/>
        </a:prstGeom>
      </xdr:spPr>
    </xdr:pic>
    <xdr:clientData/>
  </xdr:twoCellAnchor>
  <xdr:oneCellAnchor>
    <xdr:from>
      <xdr:col>13</xdr:col>
      <xdr:colOff>152400</xdr:colOff>
      <xdr:row>0</xdr:row>
      <xdr:rowOff>66675</xdr:rowOff>
    </xdr:from>
    <xdr:ext cx="956995" cy="790575"/>
    <xdr:pic>
      <xdr:nvPicPr>
        <xdr:cNvPr id="3" name="Picture 2">
          <a:extLst>
            <a:ext uri="{FF2B5EF4-FFF2-40B4-BE49-F238E27FC236}">
              <a16:creationId xmlns:a16="http://schemas.microsoft.com/office/drawing/2014/main" id="{8B17DFD9-3F93-4564-89E1-32EEDDF0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782175" y="66675"/>
          <a:ext cx="956995" cy="7905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542797</xdr:colOff>
      <xdr:row>0</xdr:row>
      <xdr:rowOff>228601</xdr:rowOff>
    </xdr:from>
    <xdr:to>
      <xdr:col>12</xdr:col>
      <xdr:colOff>38523</xdr:colOff>
      <xdr:row>1</xdr:row>
      <xdr:rowOff>276226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E90CC-A923-4F07-8089-FA09FB435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134347" y="228601"/>
          <a:ext cx="714926" cy="342900"/>
        </a:xfrm>
        <a:prstGeom prst="rect">
          <a:avLst/>
        </a:prstGeom>
      </xdr:spPr>
    </xdr:pic>
    <xdr:clientData/>
  </xdr:twoCellAnchor>
  <xdr:oneCellAnchor>
    <xdr:from>
      <xdr:col>12</xdr:col>
      <xdr:colOff>152400</xdr:colOff>
      <xdr:row>0</xdr:row>
      <xdr:rowOff>66675</xdr:rowOff>
    </xdr:from>
    <xdr:ext cx="956995" cy="790575"/>
    <xdr:pic>
      <xdr:nvPicPr>
        <xdr:cNvPr id="3" name="Picture 2">
          <a:extLst>
            <a:ext uri="{FF2B5EF4-FFF2-40B4-BE49-F238E27FC236}">
              <a16:creationId xmlns:a16="http://schemas.microsoft.com/office/drawing/2014/main" id="{AD092375-9371-4E74-BCEA-96720DD03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963150" y="66675"/>
          <a:ext cx="956995" cy="7905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198431</xdr:colOff>
      <xdr:row>0</xdr:row>
      <xdr:rowOff>235927</xdr:rowOff>
    </xdr:from>
    <xdr:to>
      <xdr:col>8</xdr:col>
      <xdr:colOff>908521</xdr:colOff>
      <xdr:row>2</xdr:row>
      <xdr:rowOff>9231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9536C-E780-423A-87D3-55ADA69DC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7818431" y="235927"/>
          <a:ext cx="711995" cy="357553"/>
        </a:xfrm>
        <a:prstGeom prst="rect">
          <a:avLst/>
        </a:prstGeom>
      </xdr:spPr>
    </xdr:pic>
    <xdr:clientData/>
  </xdr:twoCellAnchor>
  <xdr:oneCellAnchor>
    <xdr:from>
      <xdr:col>9</xdr:col>
      <xdr:colOff>152400</xdr:colOff>
      <xdr:row>0</xdr:row>
      <xdr:rowOff>66675</xdr:rowOff>
    </xdr:from>
    <xdr:ext cx="956995" cy="790575"/>
    <xdr:pic>
      <xdr:nvPicPr>
        <xdr:cNvPr id="3" name="Picture 2">
          <a:extLst>
            <a:ext uri="{FF2B5EF4-FFF2-40B4-BE49-F238E27FC236}">
              <a16:creationId xmlns:a16="http://schemas.microsoft.com/office/drawing/2014/main" id="{A920EF0C-15D7-469E-A9E3-17B094A76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2239625" y="66675"/>
          <a:ext cx="956995" cy="7905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762609</xdr:colOff>
      <xdr:row>0</xdr:row>
      <xdr:rowOff>228601</xdr:rowOff>
    </xdr:from>
    <xdr:to>
      <xdr:col>10</xdr:col>
      <xdr:colOff>1474604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4C031-0A83-45EE-8E87-57CEBB59F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0712571" y="228601"/>
          <a:ext cx="711995" cy="357553"/>
        </a:xfrm>
        <a:prstGeom prst="rect">
          <a:avLst/>
        </a:prstGeom>
      </xdr:spPr>
    </xdr:pic>
    <xdr:clientData/>
  </xdr:twoCellAnchor>
  <xdr:oneCellAnchor>
    <xdr:from>
      <xdr:col>11</xdr:col>
      <xdr:colOff>152400</xdr:colOff>
      <xdr:row>0</xdr:row>
      <xdr:rowOff>66675</xdr:rowOff>
    </xdr:from>
    <xdr:ext cx="956995" cy="790575"/>
    <xdr:pic>
      <xdr:nvPicPr>
        <xdr:cNvPr id="3" name="Picture 2">
          <a:extLst>
            <a:ext uri="{FF2B5EF4-FFF2-40B4-BE49-F238E27FC236}">
              <a16:creationId xmlns:a16="http://schemas.microsoft.com/office/drawing/2014/main" id="{477DA8A4-4C90-4B88-BEE4-D2D96E707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532620" y="66675"/>
          <a:ext cx="956995" cy="7905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542797</xdr:colOff>
      <xdr:row>0</xdr:row>
      <xdr:rowOff>228601</xdr:rowOff>
    </xdr:from>
    <xdr:to>
      <xdr:col>15</xdr:col>
      <xdr:colOff>38523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E8D2F-CEBC-40BB-99C5-4939BD99A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134347" y="228601"/>
          <a:ext cx="714926" cy="361949"/>
        </a:xfrm>
        <a:prstGeom prst="rect">
          <a:avLst/>
        </a:prstGeom>
      </xdr:spPr>
    </xdr:pic>
    <xdr:clientData/>
  </xdr:twoCellAnchor>
  <xdr:oneCellAnchor>
    <xdr:from>
      <xdr:col>15</xdr:col>
      <xdr:colOff>152400</xdr:colOff>
      <xdr:row>0</xdr:row>
      <xdr:rowOff>66675</xdr:rowOff>
    </xdr:from>
    <xdr:ext cx="956995" cy="790575"/>
    <xdr:pic>
      <xdr:nvPicPr>
        <xdr:cNvPr id="3" name="Picture 2">
          <a:extLst>
            <a:ext uri="{FF2B5EF4-FFF2-40B4-BE49-F238E27FC236}">
              <a16:creationId xmlns:a16="http://schemas.microsoft.com/office/drawing/2014/main" id="{BA9B8ACA-F658-46AC-8D5B-CF3C2FEB1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963150" y="66675"/>
          <a:ext cx="956995" cy="7905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228601</xdr:rowOff>
    </xdr:from>
    <xdr:to>
      <xdr:col>8</xdr:col>
      <xdr:colOff>714775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E31637-30EF-4FA3-933D-F66DEBE91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9953497" y="228601"/>
          <a:ext cx="714925" cy="361949"/>
        </a:xfrm>
        <a:prstGeom prst="rect">
          <a:avLst/>
        </a:prstGeom>
      </xdr:spPr>
    </xdr:pic>
    <xdr:clientData/>
  </xdr:twoCellAnchor>
  <xdr:oneCellAnchor>
    <xdr:from>
      <xdr:col>9</xdr:col>
      <xdr:colOff>152400</xdr:colOff>
      <xdr:row>0</xdr:row>
      <xdr:rowOff>66675</xdr:rowOff>
    </xdr:from>
    <xdr:ext cx="956995" cy="790575"/>
    <xdr:pic>
      <xdr:nvPicPr>
        <xdr:cNvPr id="3" name="Picture 2">
          <a:extLst>
            <a:ext uri="{FF2B5EF4-FFF2-40B4-BE49-F238E27FC236}">
              <a16:creationId xmlns:a16="http://schemas.microsoft.com/office/drawing/2014/main" id="{40E426D2-54DF-4ADF-A173-A412306CE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10782300" y="66675"/>
          <a:ext cx="956995" cy="7905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542797</xdr:colOff>
      <xdr:row>0</xdr:row>
      <xdr:rowOff>228601</xdr:rowOff>
    </xdr:from>
    <xdr:to>
      <xdr:col>12</xdr:col>
      <xdr:colOff>38523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CF1A5-4F91-495E-91F0-453393A84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7095997" y="228601"/>
          <a:ext cx="714926" cy="361949"/>
        </a:xfrm>
        <a:prstGeom prst="rect">
          <a:avLst/>
        </a:prstGeom>
      </xdr:spPr>
    </xdr:pic>
    <xdr:clientData/>
  </xdr:twoCellAnchor>
  <xdr:oneCellAnchor>
    <xdr:from>
      <xdr:col>12</xdr:col>
      <xdr:colOff>152400</xdr:colOff>
      <xdr:row>0</xdr:row>
      <xdr:rowOff>66675</xdr:rowOff>
    </xdr:from>
    <xdr:ext cx="956995" cy="790575"/>
    <xdr:pic>
      <xdr:nvPicPr>
        <xdr:cNvPr id="3" name="Picture 2">
          <a:extLst>
            <a:ext uri="{FF2B5EF4-FFF2-40B4-BE49-F238E27FC236}">
              <a16:creationId xmlns:a16="http://schemas.microsoft.com/office/drawing/2014/main" id="{2431E2BE-3520-4718-8D0C-3F6FE823B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tretch>
          <a:fillRect/>
        </a:stretch>
      </xdr:blipFill>
      <xdr:spPr>
        <a:xfrm>
          <a:off x="7924800" y="66675"/>
          <a:ext cx="956995" cy="790575"/>
        </a:xfrm>
        <a:prstGeom prst="rect">
          <a:avLst/>
        </a:prstGeom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1">
  <a r="1" c="12">
    <v t="i">0</v>
    <v t="i">31</v>
    <v t="i">59</v>
    <v t="i">90</v>
    <v t="i">120</v>
    <v t="i">151</v>
    <v t="i">181</v>
    <v t="i">212</v>
    <v t="i">243</v>
    <v t="i">273</v>
    <v t="i">304</v>
    <v t="i">334</v>
  </a>
  <a r="1" c="12">
    <v>174.78</v>
    <v>165.12</v>
    <v>174.61</v>
    <v>157.65</v>
    <v>148.84</v>
    <v>136.72</v>
    <v>162.51</v>
    <v>157.22</v>
    <v>138.19999999999999</v>
    <v>153.34</v>
    <v>148.03</v>
    <v>129.93</v>
  </a>
  <a r="1" c="12">
    <v>177.83</v>
    <v>174.01</v>
    <v>164.69499999999999</v>
    <v>174.03</v>
    <v>156.71</v>
    <v>149.9</v>
    <v>136.04</v>
    <v>161.01</v>
    <v>156.63999999999999</v>
    <v>138.21</v>
    <v>155.08000000000001</v>
    <v>148.21</v>
  </a>
  <a r="1" c="12">
    <v>2109283280</v>
    <v>1629275348</v>
    <v>2180882413</v>
    <v>1687873175</v>
    <v>2401040455</v>
    <v>1749297959</v>
    <v>1447364668</v>
    <v>1510324936</v>
    <v>2084775201</v>
    <v>1868381344</v>
    <v>1724948219</v>
    <v>1675731304</v>
  </a>
  <a r="1" c="12">
    <v>144.29</v>
    <v>147.41</v>
    <v>164.9</v>
    <v>169.68</v>
    <v>177.25</v>
    <v>193.97</v>
    <v>196.45</v>
    <v>187.87</v>
    <v>171.21</v>
    <v>170.77</v>
    <v>189.95</v>
    <v>192.53</v>
  </a>
  <a r="1" c="12">
    <v>130.28</v>
    <v>143.97</v>
    <v>146.83000000000001</v>
    <v>164.27</v>
    <v>169.28</v>
    <v>177.7</v>
    <v>193.78</v>
    <v>196.23500000000001</v>
    <v>189.48500000000001</v>
    <v>171.22</v>
    <v>171</v>
    <v>190.33</v>
  </a>
  <a r="1" c="12">
    <v>1443652725</v>
    <v>1307294493</v>
    <v>1520461315</v>
    <v>969776368</v>
    <v>1275364523</v>
    <v>1297863403</v>
    <v>996368613</v>
    <v>1323817340</v>
    <v>1337873796</v>
    <v>1172845791</v>
    <v>1099760711</v>
    <v>1063181128</v>
  </a>
  <a r="1" c="5">
    <v t="i">0</v>
    <v t="i">31</v>
    <v t="i">60</v>
    <v t="i">91</v>
    <v t="i">121</v>
  </a>
  <a r="1" c="5">
    <v>184.4</v>
    <v>180.75</v>
    <v>171.48</v>
    <v>170.33</v>
    <v>181.71</v>
  </a>
  <a r="1" c="5">
    <v>187.15</v>
    <v>183.98500000000001</v>
    <v>179.55</v>
    <v>171.19</v>
    <v>169.58</v>
  </a>
  <a r="1" c="5">
    <v>1187490645</v>
    <v>1161711745</v>
    <v>1433151760</v>
    <v>1246221542</v>
    <v>386391838</v>
  </a>
</arrayData>
</file>

<file path=xl/richData/rdrichvalue.xml><?xml version="1.0" encoding="utf-8"?>
<rvData xmlns="http://schemas.microsoft.com/office/spreadsheetml/2017/richdata" count="121">
  <rv s="0">
    <fb>44562</fb>
    <v>0</v>
  </rv>
  <rv s="0">
    <fb>177.83</fb>
    <v>1</v>
  </rv>
  <rv s="0">
    <fb>174.78</fb>
    <v>1</v>
  </rv>
  <rv s="0">
    <fb>2109283280</fb>
    <v>2</v>
  </rv>
  <rv s="0">
    <fb>44593</fb>
    <v>0</v>
  </rv>
  <rv s="0">
    <fb>174.01</fb>
    <v>1</v>
  </rv>
  <rv s="0">
    <fb>165.12</fb>
    <v>1</v>
  </rv>
  <rv s="0">
    <fb>1629275348</fb>
    <v>2</v>
  </rv>
  <rv s="0">
    <fb>44621</fb>
    <v>0</v>
  </rv>
  <rv s="0">
    <fb>164.69499999999999</fb>
    <v>1</v>
  </rv>
  <rv s="0">
    <fb>174.61</fb>
    <v>1</v>
  </rv>
  <rv s="0">
    <fb>2180882413</fb>
    <v>2</v>
  </rv>
  <rv s="0">
    <fb>44652</fb>
    <v>0</v>
  </rv>
  <rv s="0">
    <fb>174.03</fb>
    <v>1</v>
  </rv>
  <rv s="0">
    <fb>157.65</fb>
    <v>1</v>
  </rv>
  <rv s="0">
    <fb>1687873175</fb>
    <v>2</v>
  </rv>
  <rv s="0">
    <fb>44682</fb>
    <v>0</v>
  </rv>
  <rv s="0">
    <fb>156.71</fb>
    <v>1</v>
  </rv>
  <rv s="0">
    <fb>148.84</fb>
    <v>1</v>
  </rv>
  <rv s="0">
    <fb>2401040455</fb>
    <v>2</v>
  </rv>
  <rv s="0">
    <fb>44713</fb>
    <v>0</v>
  </rv>
  <rv s="0">
    <fb>149.9</fb>
    <v>1</v>
  </rv>
  <rv s="0">
    <fb>136.72</fb>
    <v>1</v>
  </rv>
  <rv s="0">
    <fb>1749297959</fb>
    <v>2</v>
  </rv>
  <rv s="0">
    <fb>44743</fb>
    <v>0</v>
  </rv>
  <rv s="0">
    <fb>136.04</fb>
    <v>1</v>
  </rv>
  <rv s="0">
    <fb>162.51</fb>
    <v>1</v>
  </rv>
  <rv s="0">
    <fb>1447364668</fb>
    <v>2</v>
  </rv>
  <rv s="0">
    <fb>44774</fb>
    <v>0</v>
  </rv>
  <rv s="0">
    <fb>161.01</fb>
    <v>1</v>
  </rv>
  <rv s="0">
    <fb>157.22</fb>
    <v>1</v>
  </rv>
  <rv s="0">
    <fb>1510324936</fb>
    <v>2</v>
  </rv>
  <rv s="0">
    <fb>44805</fb>
    <v>0</v>
  </rv>
  <rv s="0">
    <fb>156.63999999999999</fb>
    <v>1</v>
  </rv>
  <rv s="0">
    <fb>138.19999999999999</fb>
    <v>1</v>
  </rv>
  <rv s="0">
    <fb>2084775201</fb>
    <v>2</v>
  </rv>
  <rv s="0">
    <fb>44835</fb>
    <v>0</v>
  </rv>
  <rv s="0">
    <fb>138.21</fb>
    <v>1</v>
  </rv>
  <rv s="0">
    <fb>153.34</fb>
    <v>1</v>
  </rv>
  <rv s="0">
    <fb>1868381344</fb>
    <v>2</v>
  </rv>
  <rv s="0">
    <fb>44866</fb>
    <v>0</v>
  </rv>
  <rv s="0">
    <fb>155.08000000000001</fb>
    <v>1</v>
  </rv>
  <rv s="0">
    <fb>148.03</fb>
    <v>1</v>
  </rv>
  <rv s="0">
    <fb>1724948219</fb>
    <v>2</v>
  </rv>
  <rv s="0">
    <fb>44896</fb>
    <v>0</v>
  </rv>
  <rv s="0">
    <fb>148.21</fb>
    <v>1</v>
  </rv>
  <rv s="0">
    <fb>129.93</fb>
    <v>1</v>
  </rv>
  <rv s="0">
    <fb>1675731304</fb>
    <v>2</v>
  </rv>
  <rv s="0">
    <fb>44927</fb>
    <v>0</v>
  </rv>
  <rv s="0">
    <fb>130.28</fb>
    <v>1</v>
  </rv>
  <rv s="0">
    <fb>144.29</fb>
    <v>1</v>
  </rv>
  <rv s="0">
    <fb>1443652725</fb>
    <v>2</v>
  </rv>
  <rv s="0">
    <fb>44958</fb>
    <v>0</v>
  </rv>
  <rv s="0">
    <fb>143.97</fb>
    <v>1</v>
  </rv>
  <rv s="0">
    <fb>147.41</fb>
    <v>1</v>
  </rv>
  <rv s="0">
    <fb>1307294493</fb>
    <v>2</v>
  </rv>
  <rv s="0">
    <fb>44986</fb>
    <v>0</v>
  </rv>
  <rv s="0">
    <fb>146.83000000000001</fb>
    <v>1</v>
  </rv>
  <rv s="0">
    <fb>164.9</fb>
    <v>1</v>
  </rv>
  <rv s="0">
    <fb>1520461315</fb>
    <v>2</v>
  </rv>
  <rv s="0">
    <fb>45017</fb>
    <v>0</v>
  </rv>
  <rv s="0">
    <fb>164.27</fb>
    <v>1</v>
  </rv>
  <rv s="0">
    <fb>169.68</fb>
    <v>1</v>
  </rv>
  <rv s="0">
    <fb>969776368</fb>
    <v>2</v>
  </rv>
  <rv s="0">
    <fb>45047</fb>
    <v>0</v>
  </rv>
  <rv s="0">
    <fb>169.28</fb>
    <v>1</v>
  </rv>
  <rv s="0">
    <fb>177.25</fb>
    <v>1</v>
  </rv>
  <rv s="0">
    <fb>1275364523</fb>
    <v>2</v>
  </rv>
  <rv s="0">
    <fb>45078</fb>
    <v>0</v>
  </rv>
  <rv s="0">
    <fb>177.7</fb>
    <v>1</v>
  </rv>
  <rv s="0">
    <fb>193.97</fb>
    <v>1</v>
  </rv>
  <rv s="0">
    <fb>1297863403</fb>
    <v>2</v>
  </rv>
  <rv s="0">
    <fb>45108</fb>
    <v>0</v>
  </rv>
  <rv s="0">
    <fb>193.78</fb>
    <v>1</v>
  </rv>
  <rv s="0">
    <fb>196.45</fb>
    <v>1</v>
  </rv>
  <rv s="0">
    <fb>996368613</fb>
    <v>2</v>
  </rv>
  <rv s="0">
    <fb>45139</fb>
    <v>0</v>
  </rv>
  <rv s="0">
    <fb>196.23500000000001</fb>
    <v>1</v>
  </rv>
  <rv s="0">
    <fb>187.87</fb>
    <v>1</v>
  </rv>
  <rv s="0">
    <fb>1323817340</fb>
    <v>2</v>
  </rv>
  <rv s="0">
    <fb>45170</fb>
    <v>0</v>
  </rv>
  <rv s="0">
    <fb>189.48500000000001</fb>
    <v>1</v>
  </rv>
  <rv s="0">
    <fb>171.21</fb>
    <v>1</v>
  </rv>
  <rv s="0">
    <fb>1337873796</fb>
    <v>2</v>
  </rv>
  <rv s="0">
    <fb>45200</fb>
    <v>0</v>
  </rv>
  <rv s="0">
    <fb>171.22</fb>
    <v>1</v>
  </rv>
  <rv s="0">
    <fb>170.77</fb>
    <v>1</v>
  </rv>
  <rv s="0">
    <fb>1172845791</fb>
    <v>2</v>
  </rv>
  <rv s="0">
    <fb>45231</fb>
    <v>0</v>
  </rv>
  <rv s="0">
    <fb>171</fb>
    <v>1</v>
  </rv>
  <rv s="0">
    <fb>189.95</fb>
    <v>1</v>
  </rv>
  <rv s="0">
    <fb>1099760711</fb>
    <v>2</v>
  </rv>
  <rv s="0">
    <fb>45261</fb>
    <v>0</v>
  </rv>
  <rv s="0">
    <fb>190.33</fb>
    <v>1</v>
  </rv>
  <rv s="0">
    <fb>192.53</fb>
    <v>1</v>
  </rv>
  <rv s="0">
    <fb>1063181128</fb>
    <v>2</v>
  </rv>
  <rv s="0">
    <fb>45292</fb>
    <v>0</v>
  </rv>
  <rv s="0">
    <fb>187.15</fb>
    <v>1</v>
  </rv>
  <rv s="0">
    <fb>184.4</fb>
    <v>1</v>
  </rv>
  <rv s="0">
    <fb>1187490645</fb>
    <v>2</v>
  </rv>
  <rv s="0">
    <fb>45323</fb>
    <v>0</v>
  </rv>
  <rv s="0">
    <fb>183.98500000000001</fb>
    <v>1</v>
  </rv>
  <rv s="0">
    <fb>180.75</fb>
    <v>1</v>
  </rv>
  <rv s="0">
    <fb>1161711745</fb>
    <v>2</v>
  </rv>
  <rv s="0">
    <fb>45352</fb>
    <v>0</v>
  </rv>
  <rv s="0">
    <fb>179.55</fb>
    <v>1</v>
  </rv>
  <rv s="0">
    <fb>171.48</fb>
    <v>1</v>
  </rv>
  <rv s="0">
    <fb>1433151760</fb>
    <v>2</v>
  </rv>
  <rv s="0">
    <fb>45383</fb>
    <v>0</v>
  </rv>
  <rv s="0">
    <fb>171.19</fb>
    <v>1</v>
  </rv>
  <rv s="0">
    <fb>170.33</fb>
    <v>1</v>
  </rv>
  <rv s="0">
    <fb>1246221542</fb>
    <v>2</v>
  </rv>
  <rv s="0">
    <fb>172.69</fb>
    <v>1</v>
  </rv>
  <rv s="0">
    <fb>634929900</fb>
    <v>2</v>
  </rv>
  <rv s="0">
    <fb>45413</fb>
    <v>0</v>
  </rv>
  <rv s="0">
    <fb>169.58</fb>
    <v>1</v>
  </rv>
  <rv s="0">
    <fb>181.71</fb>
    <v>1</v>
  </rv>
  <rv s="0">
    <fb>386391838</fb>
    <v>2</v>
  </rv>
  <rv s="1">
    <v>3</v>
    <v>AAPL</v>
    <v>Monthly</v>
    <v>44562</v>
    <v>44926</v>
    <v>0</v>
    <v>1</v>
    <v>638079552000000000,638471791387535099,0</v>
    <v>0</v>
    <v>a1mou2</v>
    <v>XNAS:AAPL</v>
    <v>1</v>
    <v>2</v>
    <v>3</v>
  </rv>
  <rv s="1">
    <v>3</v>
    <v>AAPL</v>
    <v>Monthly</v>
    <v>44927</v>
    <v>45291</v>
    <v>0</v>
    <v>1</v>
    <v>638394048000000000,638471792264311768,0</v>
    <v>0</v>
    <v>a1mou2</v>
    <v>XNAS:AAPL</v>
    <v>4</v>
    <v>5</v>
    <v>6</v>
  </rv>
  <rv s="1">
    <v>3</v>
    <v>AAPL</v>
    <v>Monthly</v>
    <v>45292</v>
    <v>45443</v>
    <v>0</v>
    <v>1</v>
    <v>638505504000000000,638507187810105036,0</v>
    <v>7</v>
    <v>a1mou2</v>
    <v>XNAS:AAPL</v>
    <v>8</v>
    <v>9</v>
    <v>10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Open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0" formatCode="General"/>
    </x:dxf>
    <x:dxf>
      <x:numFmt numFmtId="3" formatCode="#,##0"/>
    </x:dxf>
    <x:dxf>
      <x:numFmt numFmtId="19" formatCode="yyyy/mm/dd"/>
    </x:dxf>
  </dxfs>
  <richProperties>
    <rPr n="NumberFormat" t="s"/>
  </richProperties>
  <richStyles>
    <rSty dxfid="2"/>
    <rSty dxfid="0">
      <rpv i="0">_([$$-en-US]* #,##0.00_);_([$$-en-US]* (#,##0.00);_([$$-en-US]* "-"??_);_(@_)</rpv>
    </rSty>
    <rSty dxfid="1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c@cc.com" TargetMode="External"/><Relationship Id="rId3" Type="http://schemas.openxmlformats.org/officeDocument/2006/relationships/hyperlink" Target="mailto:hh@hh.com" TargetMode="External"/><Relationship Id="rId7" Type="http://schemas.openxmlformats.org/officeDocument/2006/relationships/hyperlink" Target="mailto:dd@dd.com" TargetMode="External"/><Relationship Id="rId2" Type="http://schemas.openxmlformats.org/officeDocument/2006/relationships/hyperlink" Target="mailto:ii@ii.com" TargetMode="External"/><Relationship Id="rId1" Type="http://schemas.openxmlformats.org/officeDocument/2006/relationships/hyperlink" Target="mailto:kk@jj.com" TargetMode="External"/><Relationship Id="rId6" Type="http://schemas.openxmlformats.org/officeDocument/2006/relationships/hyperlink" Target="mailto:ee@ee.com" TargetMode="External"/><Relationship Id="rId11" Type="http://schemas.openxmlformats.org/officeDocument/2006/relationships/drawing" Target="../drawings/drawing4.xml"/><Relationship Id="rId5" Type="http://schemas.openxmlformats.org/officeDocument/2006/relationships/hyperlink" Target="mailto:ff@ff.com" TargetMode="External"/><Relationship Id="rId10" Type="http://schemas.openxmlformats.org/officeDocument/2006/relationships/hyperlink" Target="mailto:aa@aa.com" TargetMode="External"/><Relationship Id="rId4" Type="http://schemas.openxmlformats.org/officeDocument/2006/relationships/hyperlink" Target="mailto:gg@gg.com" TargetMode="External"/><Relationship Id="rId9" Type="http://schemas.openxmlformats.org/officeDocument/2006/relationships/hyperlink" Target="mailto:bb@bb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0D39-CA7C-4D78-BA14-1F7748B51E21}">
  <sheetPr codeName="Sheet18">
    <tabColor theme="3"/>
  </sheetPr>
  <dimension ref="A1:N18"/>
  <sheetViews>
    <sheetView showGridLines="0" tabSelected="1" zoomScale="145" zoomScaleNormal="145" workbookViewId="0">
      <selection activeCell="B21" sqref="B21"/>
    </sheetView>
  </sheetViews>
  <sheetFormatPr defaultColWidth="9.140625" defaultRowHeight="16.5" x14ac:dyDescent="0.3"/>
  <cols>
    <col min="1" max="1" width="4.85546875" style="33" customWidth="1"/>
    <col min="2" max="2" width="17" style="33" customWidth="1"/>
    <col min="3" max="3" width="4.140625" style="33" customWidth="1"/>
    <col min="4" max="4" width="22.7109375" style="33" customWidth="1"/>
    <col min="5" max="5" width="5.42578125" style="33" customWidth="1"/>
    <col min="6" max="6" width="11.5703125" style="33" customWidth="1"/>
    <col min="7" max="11" width="9.140625" style="33"/>
    <col min="12" max="12" width="9.140625" style="33" customWidth="1"/>
    <col min="13" max="13" width="9.140625" style="33"/>
    <col min="14" max="14" width="19.42578125" style="33" customWidth="1"/>
    <col min="15" max="16384" width="9.140625" style="33"/>
  </cols>
  <sheetData>
    <row r="1" spans="1:14" ht="23.25" customHeight="1" x14ac:dyDescent="0.4">
      <c r="A1" s="11"/>
      <c r="B1" s="32"/>
      <c r="C1" s="32"/>
      <c r="D1" s="11"/>
      <c r="E1" s="12"/>
      <c r="F1" s="12"/>
      <c r="G1" s="12"/>
      <c r="H1" s="12"/>
      <c r="I1" s="12"/>
      <c r="J1" s="12"/>
      <c r="K1" s="12"/>
      <c r="L1" s="11"/>
      <c r="M1" s="11"/>
      <c r="N1" s="11"/>
    </row>
    <row r="2" spans="1:14" ht="23.25" customHeight="1" x14ac:dyDescent="0.3">
      <c r="A2" s="11"/>
      <c r="B2" s="29" t="s">
        <v>104</v>
      </c>
      <c r="C2" s="34"/>
      <c r="D2" s="11"/>
      <c r="E2" s="12"/>
      <c r="F2" s="12"/>
      <c r="G2" s="12"/>
      <c r="H2" s="12"/>
      <c r="I2" s="12"/>
      <c r="J2" s="12"/>
      <c r="K2" s="12"/>
      <c r="L2" s="11"/>
      <c r="M2" s="11"/>
      <c r="N2" s="11"/>
    </row>
    <row r="3" spans="1:14" ht="23.25" customHeight="1" x14ac:dyDescent="0.3">
      <c r="A3" s="13"/>
      <c r="B3" s="17" t="s">
        <v>95</v>
      </c>
      <c r="C3" s="35"/>
      <c r="D3" s="14"/>
      <c r="E3" s="15"/>
      <c r="F3" s="15"/>
      <c r="G3" s="15"/>
      <c r="H3" s="15"/>
      <c r="I3" s="15"/>
      <c r="J3" s="15"/>
      <c r="K3" s="15"/>
      <c r="L3" s="14"/>
      <c r="M3" s="18" t="s">
        <v>0</v>
      </c>
      <c r="N3" s="14"/>
    </row>
    <row r="4" spans="1:14" s="16" customFormat="1" ht="16.5" customHeight="1" x14ac:dyDescent="0.3"/>
    <row r="5" spans="1:14" s="16" customFormat="1" ht="15" x14ac:dyDescent="0.3">
      <c r="B5" s="22" t="s">
        <v>92</v>
      </c>
      <c r="D5" s="36" t="s">
        <v>93</v>
      </c>
      <c r="F5" s="19" t="s">
        <v>55</v>
      </c>
      <c r="G5" s="20"/>
      <c r="H5" s="20"/>
      <c r="I5" s="20"/>
      <c r="J5" s="20"/>
      <c r="K5" s="20"/>
      <c r="L5" s="20"/>
      <c r="M5" s="20"/>
    </row>
    <row r="6" spans="1:14" s="16" customFormat="1" ht="16.5" customHeight="1" x14ac:dyDescent="0.3">
      <c r="B6" s="21">
        <v>25</v>
      </c>
      <c r="D6" s="37"/>
      <c r="F6" s="16" t="s">
        <v>94</v>
      </c>
    </row>
    <row r="7" spans="1:14" s="16" customFormat="1" ht="15" x14ac:dyDescent="0.3">
      <c r="B7" s="21">
        <v>20</v>
      </c>
    </row>
    <row r="8" spans="1:14" s="16" customFormat="1" ht="15" x14ac:dyDescent="0.3">
      <c r="B8" s="21">
        <v>19</v>
      </c>
    </row>
    <row r="9" spans="1:14" s="16" customFormat="1" ht="15" x14ac:dyDescent="0.3">
      <c r="B9" s="21">
        <v>39</v>
      </c>
    </row>
    <row r="10" spans="1:14" s="16" customFormat="1" ht="15" x14ac:dyDescent="0.3">
      <c r="B10" s="21">
        <v>29</v>
      </c>
    </row>
    <row r="11" spans="1:14" s="16" customFormat="1" ht="15" x14ac:dyDescent="0.3">
      <c r="B11" s="21">
        <v>39</v>
      </c>
    </row>
    <row r="12" spans="1:14" s="16" customFormat="1" ht="15" x14ac:dyDescent="0.3">
      <c r="B12" s="21">
        <v>33</v>
      </c>
    </row>
    <row r="13" spans="1:14" s="16" customFormat="1" ht="15" x14ac:dyDescent="0.3">
      <c r="B13" s="21">
        <v>23</v>
      </c>
    </row>
    <row r="14" spans="1:14" s="16" customFormat="1" ht="15" x14ac:dyDescent="0.3">
      <c r="B14" s="21">
        <v>25</v>
      </c>
    </row>
    <row r="15" spans="1:14" s="16" customFormat="1" ht="15" x14ac:dyDescent="0.3">
      <c r="B15" s="21">
        <v>32</v>
      </c>
    </row>
    <row r="16" spans="1:14" s="16" customFormat="1" ht="15" x14ac:dyDescent="0.3"/>
    <row r="17" s="16" customFormat="1" ht="15" x14ac:dyDescent="0.3"/>
    <row r="18" s="16" customFormat="1" ht="15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415A-249D-43C6-B415-4B4C7BD10B0C}">
  <sheetPr codeName="Sheet5">
    <tabColor theme="3"/>
  </sheetPr>
  <dimension ref="A1:M22"/>
  <sheetViews>
    <sheetView showGridLines="0" zoomScale="145" zoomScaleNormal="145" workbookViewId="0">
      <selection activeCell="I13" sqref="I13"/>
    </sheetView>
  </sheetViews>
  <sheetFormatPr defaultColWidth="9.140625" defaultRowHeight="16.5" x14ac:dyDescent="0.3"/>
  <cols>
    <col min="1" max="1" width="3.7109375" style="33" customWidth="1"/>
    <col min="2" max="2" width="34.5703125" style="33" customWidth="1"/>
    <col min="3" max="3" width="22.7109375" style="33" customWidth="1"/>
    <col min="4" max="10" width="9.140625" style="33"/>
    <col min="11" max="11" width="9.140625" style="33" customWidth="1"/>
    <col min="12" max="12" width="9.140625" style="33"/>
    <col min="13" max="13" width="19.42578125" style="33" customWidth="1"/>
    <col min="14" max="16384" width="9.140625" style="33"/>
  </cols>
  <sheetData>
    <row r="1" spans="1:13" ht="23.25" customHeight="1" x14ac:dyDescent="0.4">
      <c r="A1" s="11"/>
      <c r="B1" s="32"/>
      <c r="C1" s="11"/>
      <c r="D1" s="12"/>
      <c r="E1" s="12"/>
      <c r="F1" s="12"/>
      <c r="G1" s="12"/>
      <c r="H1" s="12"/>
      <c r="I1" s="12"/>
      <c r="J1" s="12"/>
      <c r="K1" s="11"/>
      <c r="L1" s="11"/>
      <c r="M1" s="11"/>
    </row>
    <row r="2" spans="1:13" ht="23.25" customHeight="1" x14ac:dyDescent="0.3">
      <c r="A2" s="11"/>
      <c r="B2" s="29" t="s">
        <v>104</v>
      </c>
      <c r="C2" s="11"/>
      <c r="D2" s="12"/>
      <c r="E2" s="12"/>
      <c r="F2" s="12"/>
      <c r="G2" s="12"/>
      <c r="H2" s="12"/>
      <c r="I2" s="12"/>
      <c r="J2" s="12"/>
      <c r="K2" s="11"/>
      <c r="L2" s="11"/>
      <c r="M2" s="11"/>
    </row>
    <row r="3" spans="1:13" ht="23.25" customHeight="1" x14ac:dyDescent="0.3">
      <c r="A3" s="13"/>
      <c r="B3" s="17" t="s">
        <v>36</v>
      </c>
      <c r="C3" s="14"/>
      <c r="D3" s="15"/>
      <c r="E3" s="15"/>
      <c r="F3" s="15"/>
      <c r="G3" s="15"/>
      <c r="H3" s="15"/>
      <c r="I3" s="15"/>
      <c r="J3" s="15"/>
      <c r="K3" s="14"/>
      <c r="L3" s="18" t="s">
        <v>0</v>
      </c>
      <c r="M3" s="14"/>
    </row>
    <row r="4" spans="1:13" s="16" customFormat="1" ht="15.75" customHeight="1" x14ac:dyDescent="0.3"/>
    <row r="5" spans="1:13" s="16" customFormat="1" ht="15" x14ac:dyDescent="0.3">
      <c r="B5" s="19" t="s">
        <v>1</v>
      </c>
      <c r="C5" s="22"/>
      <c r="E5" s="19" t="s">
        <v>55</v>
      </c>
      <c r="F5" s="20"/>
      <c r="G5" s="20"/>
      <c r="H5" s="20"/>
      <c r="I5" s="20"/>
      <c r="J5" s="20"/>
      <c r="K5" s="20"/>
      <c r="L5" s="20"/>
      <c r="M5" s="20"/>
    </row>
    <row r="6" spans="1:13" s="16" customFormat="1" ht="15" x14ac:dyDescent="0.3">
      <c r="B6" s="48" t="s">
        <v>2</v>
      </c>
      <c r="C6" s="49" t="s">
        <v>3</v>
      </c>
      <c r="E6" s="16" t="s">
        <v>6</v>
      </c>
    </row>
    <row r="7" spans="1:13" s="16" customFormat="1" ht="15" x14ac:dyDescent="0.3">
      <c r="B7" s="21" t="s">
        <v>4</v>
      </c>
      <c r="C7" s="43" t="s">
        <v>5</v>
      </c>
      <c r="E7" s="16" t="s">
        <v>7</v>
      </c>
    </row>
    <row r="8" spans="1:13" s="16" customFormat="1" ht="15" x14ac:dyDescent="0.3">
      <c r="E8" s="16" t="s">
        <v>98</v>
      </c>
    </row>
    <row r="9" spans="1:13" s="16" customFormat="1" ht="15" x14ac:dyDescent="0.3">
      <c r="B9" s="19" t="s">
        <v>2</v>
      </c>
      <c r="C9" s="22" t="s">
        <v>18</v>
      </c>
      <c r="E9" s="16" t="s">
        <v>39</v>
      </c>
    </row>
    <row r="10" spans="1:13" s="16" customFormat="1" ht="15" x14ac:dyDescent="0.3">
      <c r="B10" s="21" t="s">
        <v>8</v>
      </c>
      <c r="C10" s="37"/>
    </row>
    <row r="11" spans="1:13" s="16" customFormat="1" ht="15" x14ac:dyDescent="0.3">
      <c r="B11" s="21" t="s">
        <v>9</v>
      </c>
      <c r="C11" s="37"/>
    </row>
    <row r="12" spans="1:13" s="16" customFormat="1" ht="15" x14ac:dyDescent="0.3">
      <c r="B12" s="21" t="s">
        <v>10</v>
      </c>
      <c r="C12" s="37"/>
    </row>
    <row r="13" spans="1:13" s="16" customFormat="1" ht="15" x14ac:dyDescent="0.3">
      <c r="B13" s="21" t="s">
        <v>11</v>
      </c>
      <c r="C13" s="37"/>
    </row>
    <row r="14" spans="1:13" s="16" customFormat="1" ht="15" x14ac:dyDescent="0.3">
      <c r="B14" s="21" t="s">
        <v>12</v>
      </c>
      <c r="C14" s="37"/>
    </row>
    <row r="15" spans="1:13" s="16" customFormat="1" ht="15" x14ac:dyDescent="0.3">
      <c r="B15" s="21" t="s">
        <v>13</v>
      </c>
      <c r="C15" s="37"/>
    </row>
    <row r="16" spans="1:13" s="16" customFormat="1" ht="15" x14ac:dyDescent="0.3">
      <c r="B16" s="21" t="s">
        <v>14</v>
      </c>
      <c r="C16" s="37"/>
    </row>
    <row r="17" spans="2:3" s="16" customFormat="1" ht="15" x14ac:dyDescent="0.3">
      <c r="B17" s="21" t="s">
        <v>15</v>
      </c>
      <c r="C17" s="37"/>
    </row>
    <row r="18" spans="2:3" s="16" customFormat="1" ht="15" x14ac:dyDescent="0.3">
      <c r="B18" s="21" t="s">
        <v>16</v>
      </c>
      <c r="C18" s="37"/>
    </row>
    <row r="19" spans="2:3" s="16" customFormat="1" ht="15" x14ac:dyDescent="0.3">
      <c r="B19" s="21" t="s">
        <v>17</v>
      </c>
      <c r="C19" s="37"/>
    </row>
    <row r="20" spans="2:3" s="16" customFormat="1" ht="15" x14ac:dyDescent="0.3"/>
    <row r="21" spans="2:3" s="16" customFormat="1" ht="15" x14ac:dyDescent="0.3"/>
    <row r="22" spans="2:3" s="16" customFormat="1" ht="15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4D96-8CDA-452B-A285-BC73396A2270}">
  <sheetPr codeName="Sheet17">
    <tabColor theme="3"/>
  </sheetPr>
  <dimension ref="A1:J12"/>
  <sheetViews>
    <sheetView showGridLines="0" zoomScale="145" zoomScaleNormal="145" workbookViewId="0">
      <selection activeCell="D16" sqref="D16"/>
    </sheetView>
  </sheetViews>
  <sheetFormatPr defaultColWidth="9.140625" defaultRowHeight="15" x14ac:dyDescent="0.3"/>
  <cols>
    <col min="1" max="1" width="4" style="16" customWidth="1"/>
    <col min="2" max="2" width="20.140625" style="16" customWidth="1"/>
    <col min="3" max="3" width="17" style="16" customWidth="1"/>
    <col min="4" max="4" width="17.28515625" style="16" customWidth="1"/>
    <col min="5" max="6" width="15.42578125" style="16" customWidth="1"/>
    <col min="7" max="7" width="6.7109375" style="16" customWidth="1"/>
    <col min="8" max="8" width="18.42578125" style="16" customWidth="1"/>
    <col min="9" max="9" width="13.85546875" style="16" customWidth="1"/>
    <col min="10" max="10" width="19.42578125" style="16" customWidth="1"/>
    <col min="11" max="16384" width="9.140625" style="16"/>
  </cols>
  <sheetData>
    <row r="1" spans="1:10" ht="23.25" customHeight="1" x14ac:dyDescent="0.3">
      <c r="A1" s="11"/>
      <c r="B1" s="11"/>
      <c r="C1" s="11"/>
      <c r="D1" s="12"/>
      <c r="E1" s="12"/>
      <c r="F1" s="12"/>
      <c r="G1" s="12"/>
      <c r="H1" s="12"/>
      <c r="I1" s="12"/>
      <c r="J1" s="11"/>
    </row>
    <row r="2" spans="1:10" ht="23.25" customHeight="1" x14ac:dyDescent="0.3">
      <c r="A2" s="11"/>
      <c r="B2" s="29" t="s">
        <v>104</v>
      </c>
      <c r="C2" s="11"/>
      <c r="D2" s="12"/>
      <c r="E2" s="12"/>
      <c r="F2" s="12"/>
      <c r="G2" s="12"/>
      <c r="H2" s="12"/>
      <c r="I2" s="12"/>
      <c r="J2" s="11"/>
    </row>
    <row r="3" spans="1:10" ht="23.25" customHeight="1" x14ac:dyDescent="0.3">
      <c r="A3" s="13"/>
      <c r="B3" s="17" t="s">
        <v>50</v>
      </c>
      <c r="C3" s="14"/>
      <c r="D3" s="15"/>
      <c r="E3" s="15"/>
      <c r="F3" s="15"/>
      <c r="G3" s="15"/>
      <c r="H3" s="15"/>
      <c r="I3" s="18" t="s">
        <v>0</v>
      </c>
      <c r="J3" s="14"/>
    </row>
    <row r="4" spans="1:10" ht="17.25" customHeight="1" x14ac:dyDescent="0.3"/>
    <row r="5" spans="1:10" ht="16.5" customHeight="1" x14ac:dyDescent="0.3">
      <c r="B5" s="19" t="s">
        <v>55</v>
      </c>
      <c r="C5" s="20"/>
      <c r="D5" s="20"/>
      <c r="E5" s="20"/>
      <c r="F5" s="20"/>
    </row>
    <row r="6" spans="1:10" ht="16.5" customHeight="1" x14ac:dyDescent="0.3">
      <c r="B6" s="16" t="s">
        <v>106</v>
      </c>
    </row>
    <row r="7" spans="1:10" ht="16.5" customHeight="1" x14ac:dyDescent="0.3">
      <c r="B7" s="16" t="s">
        <v>53</v>
      </c>
    </row>
    <row r="8" spans="1:10" ht="16.5" customHeight="1" x14ac:dyDescent="0.3">
      <c r="B8" s="16" t="s">
        <v>86</v>
      </c>
    </row>
    <row r="9" spans="1:10" ht="17.25" customHeight="1" x14ac:dyDescent="0.3"/>
    <row r="10" spans="1:10" ht="15.75" x14ac:dyDescent="0.3">
      <c r="B10" s="19" t="s">
        <v>19</v>
      </c>
      <c r="C10" s="19">
        <v>2020</v>
      </c>
      <c r="D10" s="19">
        <v>2021</v>
      </c>
      <c r="E10" s="19">
        <v>2022</v>
      </c>
      <c r="F10" s="19">
        <v>2023</v>
      </c>
      <c r="H10" s="22" t="s">
        <v>47</v>
      </c>
      <c r="I10" s="54">
        <f>IF(AND(C11&gt;D11,C11&gt;E11,C11&gt;F11),C11,IF(AND(D11&gt;E11,D11&gt;F11),D11,IF(AND(E11&gt;D11,E11&gt;F11),E11,F11)))</f>
        <v>150000</v>
      </c>
    </row>
    <row r="11" spans="1:10" ht="14.25" customHeight="1" x14ac:dyDescent="0.3">
      <c r="B11" s="21" t="s">
        <v>79</v>
      </c>
      <c r="C11" s="30">
        <f>SUMIFS('Simplify Formula'!$H$11:$H$20,'Simplify Formula'!$F$11:$F$20,C$10)</f>
        <v>120000</v>
      </c>
      <c r="D11" s="30">
        <f>SUMIFS('Simplify Formula'!$H$11:$H$20,'Simplify Formula'!$F$11:$F$20,D$10)</f>
        <v>70000</v>
      </c>
      <c r="E11" s="30">
        <f>SUMIFS('Simplify Formula'!$H$11:$H$20,'Simplify Formula'!$F$11:$F$20,E$10)</f>
        <v>70000</v>
      </c>
      <c r="F11" s="30">
        <f>SUMIFS('Simplify Formula'!$H$11:$H$20,'Simplify Formula'!$F$11:$F$20,F$10)</f>
        <v>150000</v>
      </c>
      <c r="H11" s="22" t="s">
        <v>51</v>
      </c>
      <c r="I11" s="51"/>
    </row>
    <row r="12" spans="1:10" ht="16.5" x14ac:dyDescent="0.3">
      <c r="H12" s="22" t="s">
        <v>52</v>
      </c>
      <c r="I12" s="3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FF01-1C0C-4285-99AD-CFE2DC93AD22}">
  <sheetPr codeName="Sheet1">
    <tabColor theme="3"/>
  </sheetPr>
  <dimension ref="A1:L20"/>
  <sheetViews>
    <sheetView showGridLines="0" zoomScale="145" zoomScaleNormal="145" workbookViewId="0">
      <selection activeCell="B2" sqref="B2"/>
    </sheetView>
  </sheetViews>
  <sheetFormatPr defaultColWidth="9.140625" defaultRowHeight="15" x14ac:dyDescent="0.3"/>
  <cols>
    <col min="1" max="1" width="4" style="16" customWidth="1"/>
    <col min="2" max="2" width="20.140625" style="16" customWidth="1"/>
    <col min="3" max="3" width="17" style="16" customWidth="1"/>
    <col min="4" max="4" width="17.28515625" style="16" customWidth="1"/>
    <col min="5" max="6" width="14.140625" style="16" customWidth="1"/>
    <col min="7" max="7" width="16" style="16" customWidth="1"/>
    <col min="8" max="8" width="18.42578125" style="16" customWidth="1"/>
    <col min="9" max="9" width="4.5703125" style="16" customWidth="1"/>
    <col min="10" max="10" width="23.42578125" style="16" customWidth="1"/>
    <col min="11" max="11" width="23" style="16" customWidth="1"/>
    <col min="12" max="12" width="19.42578125" style="16" customWidth="1"/>
    <col min="13" max="16384" width="9.140625" style="16"/>
  </cols>
  <sheetData>
    <row r="1" spans="1:12" ht="23.25" customHeight="1" x14ac:dyDescent="0.3">
      <c r="A1" s="11"/>
      <c r="B1" s="11"/>
      <c r="C1" s="11"/>
      <c r="D1" s="12"/>
      <c r="E1" s="12"/>
      <c r="F1" s="12"/>
      <c r="G1" s="12"/>
      <c r="H1" s="12"/>
      <c r="I1" s="12"/>
      <c r="J1" s="12"/>
      <c r="K1" s="11"/>
      <c r="L1" s="11"/>
    </row>
    <row r="2" spans="1:12" ht="23.25" customHeight="1" x14ac:dyDescent="0.3">
      <c r="A2" s="11"/>
      <c r="B2" s="29" t="s">
        <v>104</v>
      </c>
      <c r="C2" s="11"/>
      <c r="D2" s="12"/>
      <c r="E2" s="12"/>
      <c r="F2" s="12"/>
      <c r="G2" s="12"/>
      <c r="H2" s="12"/>
      <c r="I2" s="12"/>
      <c r="J2" s="12"/>
      <c r="K2" s="11"/>
      <c r="L2" s="11"/>
    </row>
    <row r="3" spans="1:12" ht="23.25" customHeight="1" x14ac:dyDescent="0.3">
      <c r="A3" s="13"/>
      <c r="B3" s="17" t="s">
        <v>50</v>
      </c>
      <c r="C3" s="14"/>
      <c r="D3" s="15"/>
      <c r="E3" s="15"/>
      <c r="F3" s="15"/>
      <c r="G3" s="15"/>
      <c r="H3" s="15"/>
      <c r="I3" s="15"/>
      <c r="J3" s="15"/>
      <c r="K3" s="18" t="s">
        <v>0</v>
      </c>
      <c r="L3" s="14"/>
    </row>
    <row r="4" spans="1:12" ht="17.25" customHeight="1" x14ac:dyDescent="0.3"/>
    <row r="5" spans="1:12" ht="16.5" customHeight="1" x14ac:dyDescent="0.3">
      <c r="B5" s="19" t="s">
        <v>55</v>
      </c>
      <c r="C5" s="20"/>
      <c r="D5" s="20"/>
      <c r="E5" s="20"/>
      <c r="F5" s="20"/>
      <c r="G5" s="20"/>
      <c r="H5" s="20"/>
    </row>
    <row r="6" spans="1:12" ht="16.5" customHeight="1" x14ac:dyDescent="0.3">
      <c r="B6" s="16" t="s">
        <v>56</v>
      </c>
    </row>
    <row r="7" spans="1:12" ht="16.5" customHeight="1" x14ac:dyDescent="0.3">
      <c r="B7" s="16" t="s">
        <v>87</v>
      </c>
    </row>
    <row r="8" spans="1:12" ht="16.5" customHeight="1" x14ac:dyDescent="0.3">
      <c r="B8" s="16" t="s">
        <v>54</v>
      </c>
    </row>
    <row r="9" spans="1:12" ht="17.25" customHeight="1" x14ac:dyDescent="0.3"/>
    <row r="10" spans="1:12" x14ac:dyDescent="0.3">
      <c r="B10" s="19" t="s">
        <v>57</v>
      </c>
      <c r="C10" s="19" t="s">
        <v>68</v>
      </c>
      <c r="D10" s="19" t="s">
        <v>40</v>
      </c>
      <c r="E10" s="19" t="s">
        <v>49</v>
      </c>
      <c r="F10" s="19" t="s">
        <v>34</v>
      </c>
      <c r="G10" s="22" t="s">
        <v>43</v>
      </c>
      <c r="H10" s="22" t="s">
        <v>48</v>
      </c>
      <c r="J10" s="22" t="s">
        <v>47</v>
      </c>
      <c r="K10" s="16" cm="1">
        <f t="array" ref="K10">SUMPRODUCT((D11:D20="New")*(E11:E20="High")*(H11:H20))</f>
        <v>90000</v>
      </c>
    </row>
    <row r="11" spans="1:12" x14ac:dyDescent="0.3">
      <c r="B11" s="16" t="s">
        <v>58</v>
      </c>
      <c r="C11" s="38" t="s">
        <v>69</v>
      </c>
      <c r="D11" s="16" t="s">
        <v>41</v>
      </c>
      <c r="E11" s="16" t="s">
        <v>44</v>
      </c>
      <c r="F11" s="16">
        <v>2020</v>
      </c>
      <c r="G11" s="16">
        <f t="shared" ref="G11:G20" si="0">IF(D11="New",IF(E11="High",0.03,IF(E11="Medium",0.035,0.04)),0.03)</f>
        <v>0.04</v>
      </c>
      <c r="H11" s="16">
        <v>10000</v>
      </c>
      <c r="J11" s="22" t="s">
        <v>51</v>
      </c>
      <c r="K11" s="39"/>
    </row>
    <row r="12" spans="1:12" x14ac:dyDescent="0.3">
      <c r="B12" s="16" t="s">
        <v>59</v>
      </c>
      <c r="C12" s="38" t="s">
        <v>70</v>
      </c>
      <c r="D12" s="16" t="s">
        <v>42</v>
      </c>
      <c r="E12" s="16" t="s">
        <v>45</v>
      </c>
      <c r="F12" s="16">
        <v>2020</v>
      </c>
      <c r="G12" s="16">
        <f t="shared" si="0"/>
        <v>0.03</v>
      </c>
      <c r="H12" s="16">
        <v>80000</v>
      </c>
      <c r="J12" s="22" t="s">
        <v>52</v>
      </c>
      <c r="K12" s="40"/>
    </row>
    <row r="13" spans="1:12" x14ac:dyDescent="0.3">
      <c r="B13" s="16" t="s">
        <v>60</v>
      </c>
      <c r="C13" s="38" t="s">
        <v>71</v>
      </c>
      <c r="D13" s="16" t="s">
        <v>41</v>
      </c>
      <c r="E13" s="16" t="s">
        <v>46</v>
      </c>
      <c r="F13" s="16">
        <v>2020</v>
      </c>
      <c r="G13" s="16">
        <f t="shared" si="0"/>
        <v>0.03</v>
      </c>
      <c r="H13" s="16">
        <v>30000</v>
      </c>
    </row>
    <row r="14" spans="1:12" x14ac:dyDescent="0.3">
      <c r="B14" s="16" t="s">
        <v>61</v>
      </c>
      <c r="C14" s="38" t="s">
        <v>72</v>
      </c>
      <c r="D14" s="16" t="s">
        <v>42</v>
      </c>
      <c r="E14" s="16" t="s">
        <v>44</v>
      </c>
      <c r="F14" s="16">
        <v>2021</v>
      </c>
      <c r="G14" s="16">
        <f t="shared" si="0"/>
        <v>0.03</v>
      </c>
      <c r="H14" s="16">
        <v>40000</v>
      </c>
      <c r="J14" s="22" t="s">
        <v>47</v>
      </c>
      <c r="K14" s="16" t="str">
        <f>CONCATENATE(C11,",",C12,",",C13,",",C14,",",C15,",",C16,",",C17,",",C18,",",C19,",",C20)</f>
        <v>aa@aa.com,bb@bb.com,cc@cc.com,dd@dd.com,ee@ee.com,ff@ff.com,gg@gg.com,hh@hh.com,ii@ii.com,kk@jj.com</v>
      </c>
    </row>
    <row r="15" spans="1:12" x14ac:dyDescent="0.3">
      <c r="B15" s="16" t="s">
        <v>62</v>
      </c>
      <c r="C15" s="38" t="s">
        <v>73</v>
      </c>
      <c r="D15" s="16" t="s">
        <v>42</v>
      </c>
      <c r="E15" s="16" t="s">
        <v>45</v>
      </c>
      <c r="F15" s="16">
        <v>2021</v>
      </c>
      <c r="G15" s="16">
        <f t="shared" si="0"/>
        <v>0.03</v>
      </c>
      <c r="H15" s="16">
        <v>30000</v>
      </c>
      <c r="J15" s="22" t="s">
        <v>51</v>
      </c>
      <c r="K15" s="39"/>
    </row>
    <row r="16" spans="1:12" x14ac:dyDescent="0.3">
      <c r="B16" s="16" t="s">
        <v>63</v>
      </c>
      <c r="C16" s="38" t="s">
        <v>74</v>
      </c>
      <c r="D16" s="16" t="s">
        <v>41</v>
      </c>
      <c r="E16" s="16" t="s">
        <v>46</v>
      </c>
      <c r="F16" s="16">
        <v>2022</v>
      </c>
      <c r="G16" s="16">
        <f t="shared" si="0"/>
        <v>0.03</v>
      </c>
      <c r="H16" s="16">
        <v>30000</v>
      </c>
      <c r="J16" s="22" t="s">
        <v>52</v>
      </c>
      <c r="K16" s="40"/>
    </row>
    <row r="17" spans="2:8" x14ac:dyDescent="0.3">
      <c r="B17" s="16" t="s">
        <v>64</v>
      </c>
      <c r="C17" s="38" t="s">
        <v>75</v>
      </c>
      <c r="D17" s="16" t="s">
        <v>42</v>
      </c>
      <c r="E17" s="16" t="s">
        <v>44</v>
      </c>
      <c r="F17" s="16">
        <v>2022</v>
      </c>
      <c r="G17" s="16">
        <f t="shared" si="0"/>
        <v>0.03</v>
      </c>
      <c r="H17" s="16">
        <v>40000</v>
      </c>
    </row>
    <row r="18" spans="2:8" x14ac:dyDescent="0.3">
      <c r="B18" s="16" t="s">
        <v>65</v>
      </c>
      <c r="C18" s="38" t="s">
        <v>76</v>
      </c>
      <c r="D18" s="16" t="s">
        <v>42</v>
      </c>
      <c r="E18" s="16" t="s">
        <v>45</v>
      </c>
      <c r="F18" s="16">
        <v>2023</v>
      </c>
      <c r="G18" s="16">
        <f t="shared" si="0"/>
        <v>0.03</v>
      </c>
      <c r="H18" s="16">
        <v>50000</v>
      </c>
    </row>
    <row r="19" spans="2:8" x14ac:dyDescent="0.3">
      <c r="B19" s="16" t="s">
        <v>66</v>
      </c>
      <c r="C19" s="38" t="s">
        <v>77</v>
      </c>
      <c r="D19" s="16" t="s">
        <v>41</v>
      </c>
      <c r="E19" s="16" t="s">
        <v>46</v>
      </c>
      <c r="F19" s="16">
        <v>2023</v>
      </c>
      <c r="G19" s="16">
        <f t="shared" si="0"/>
        <v>0.03</v>
      </c>
      <c r="H19" s="16">
        <v>30000</v>
      </c>
    </row>
    <row r="20" spans="2:8" x14ac:dyDescent="0.3">
      <c r="B20" s="16" t="s">
        <v>67</v>
      </c>
      <c r="C20" s="38" t="s">
        <v>78</v>
      </c>
      <c r="D20" s="16" t="s">
        <v>42</v>
      </c>
      <c r="E20" s="16" t="s">
        <v>44</v>
      </c>
      <c r="F20" s="16">
        <v>2023</v>
      </c>
      <c r="G20" s="16">
        <f t="shared" si="0"/>
        <v>0.03</v>
      </c>
      <c r="H20" s="16">
        <v>70000</v>
      </c>
    </row>
  </sheetData>
  <hyperlinks>
    <hyperlink ref="C20" r:id="rId1" xr:uid="{331E8BB7-975B-4A5E-BA64-D7A1869C1431}"/>
    <hyperlink ref="C19" r:id="rId2" xr:uid="{0C9C3923-990E-4FA3-9821-B88483E952E0}"/>
    <hyperlink ref="C18" r:id="rId3" xr:uid="{2EFA599D-90BA-464B-8215-B6372FF4C904}"/>
    <hyperlink ref="C17" r:id="rId4" xr:uid="{6DDE0379-E3A8-414A-9726-09422B8D5623}"/>
    <hyperlink ref="C16" r:id="rId5" xr:uid="{7B555714-080D-4C6B-AA41-6AF8D70B113E}"/>
    <hyperlink ref="C15" r:id="rId6" xr:uid="{91C58257-DBD4-4BBA-9369-6BDE71C823F6}"/>
    <hyperlink ref="C14" r:id="rId7" xr:uid="{CA537C1C-C7D8-4C17-9ADE-02CF50C26332}"/>
    <hyperlink ref="C13" r:id="rId8" xr:uid="{7BB87CE9-436D-41E2-9346-CFEF6837DAFD}"/>
    <hyperlink ref="C12" r:id="rId9" xr:uid="{6A625A21-447F-4BD1-A7B1-6B15CD9CC08D}"/>
    <hyperlink ref="C11" r:id="rId10" xr:uid="{3F4C4283-833A-4C7C-BA14-5E65D4A7DF13}"/>
  </hyperlinks>
  <pageMargins left="0.7" right="0.7" top="0.75" bottom="0.75" header="0.3" footer="0.3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AFBD-025E-445F-A0FA-F52BD64259F4}">
  <sheetPr codeName="Sheet3">
    <tabColor theme="3"/>
  </sheetPr>
  <dimension ref="A1:P11"/>
  <sheetViews>
    <sheetView showGridLines="0" zoomScale="145" zoomScaleNormal="145" workbookViewId="0">
      <selection activeCell="F19" sqref="F19"/>
    </sheetView>
  </sheetViews>
  <sheetFormatPr defaultColWidth="9.140625" defaultRowHeight="14.25" x14ac:dyDescent="0.3"/>
  <cols>
    <col min="1" max="1" width="4.42578125" style="25" customWidth="1"/>
    <col min="2" max="2" width="14.140625" style="25" customWidth="1"/>
    <col min="3" max="4" width="13" style="25" customWidth="1"/>
    <col min="5" max="5" width="3.42578125" style="25" customWidth="1"/>
    <col min="6" max="6" width="29.140625" style="25" customWidth="1"/>
    <col min="7" max="7" width="3.85546875" style="25" customWidth="1"/>
    <col min="8" max="15" width="9.140625" style="25"/>
    <col min="16" max="16" width="19.42578125" style="25" customWidth="1"/>
    <col min="17" max="16384" width="9.140625" style="25"/>
  </cols>
  <sheetData>
    <row r="1" spans="1:16" ht="23.25" customHeight="1" x14ac:dyDescent="0.3">
      <c r="A1" s="23"/>
      <c r="B1" s="23"/>
      <c r="C1" s="23"/>
      <c r="D1" s="23"/>
      <c r="E1" s="23"/>
      <c r="F1" s="23"/>
      <c r="G1" s="24"/>
      <c r="H1" s="24"/>
      <c r="I1" s="24"/>
      <c r="J1" s="24"/>
      <c r="K1" s="24"/>
      <c r="L1" s="24"/>
      <c r="M1" s="24"/>
      <c r="N1" s="23"/>
      <c r="O1" s="23"/>
      <c r="P1" s="23"/>
    </row>
    <row r="2" spans="1:16" ht="23.25" customHeight="1" x14ac:dyDescent="0.3">
      <c r="A2" s="23"/>
      <c r="B2" s="29" t="s">
        <v>104</v>
      </c>
      <c r="C2" s="23"/>
      <c r="D2" s="23"/>
      <c r="E2" s="23"/>
      <c r="F2" s="23"/>
      <c r="G2" s="24"/>
      <c r="H2" s="24"/>
      <c r="I2" s="24"/>
      <c r="J2" s="24"/>
      <c r="K2" s="24"/>
      <c r="L2" s="24"/>
      <c r="M2" s="24"/>
      <c r="N2" s="23"/>
      <c r="O2" s="23"/>
      <c r="P2" s="23"/>
    </row>
    <row r="3" spans="1:16" ht="23.25" customHeight="1" x14ac:dyDescent="0.3">
      <c r="A3" s="26"/>
      <c r="B3" s="17" t="s">
        <v>37</v>
      </c>
      <c r="C3" s="27"/>
      <c r="D3" s="27"/>
      <c r="E3" s="27"/>
      <c r="F3" s="27"/>
      <c r="G3" s="28"/>
      <c r="H3" s="28"/>
      <c r="I3" s="28"/>
      <c r="J3" s="28"/>
      <c r="K3" s="28"/>
      <c r="L3" s="28"/>
      <c r="M3" s="28"/>
      <c r="N3" s="27"/>
      <c r="O3" s="18" t="s">
        <v>0</v>
      </c>
      <c r="P3" s="27"/>
    </row>
    <row r="4" spans="1:16" s="16" customFormat="1" ht="17.25" customHeight="1" x14ac:dyDescent="0.3"/>
    <row r="5" spans="1:16" s="16" customFormat="1" ht="15" x14ac:dyDescent="0.3">
      <c r="B5" s="19" t="s">
        <v>22</v>
      </c>
      <c r="C5" s="22" t="s">
        <v>21</v>
      </c>
      <c r="D5" s="22" t="s">
        <v>23</v>
      </c>
      <c r="F5" s="22" t="s">
        <v>80</v>
      </c>
      <c r="H5" s="19" t="s">
        <v>55</v>
      </c>
      <c r="I5" s="20"/>
      <c r="J5" s="20"/>
      <c r="K5" s="20"/>
      <c r="L5" s="20"/>
      <c r="M5" s="20"/>
      <c r="N5" s="20"/>
      <c r="O5" s="20"/>
    </row>
    <row r="6" spans="1:16" s="16" customFormat="1" ht="18.75" customHeight="1" x14ac:dyDescent="0.3">
      <c r="B6" s="21">
        <v>30</v>
      </c>
      <c r="C6" s="41">
        <v>13.7</v>
      </c>
      <c r="D6" s="42" t="s">
        <v>24</v>
      </c>
      <c r="F6" s="41" cm="1">
        <f t="array" ref="F6">SUMPRODUCT(B6:B11,C6:C11,D6:D11="Company")</f>
        <v>0</v>
      </c>
      <c r="H6" s="16" t="s">
        <v>89</v>
      </c>
    </row>
    <row r="7" spans="1:16" s="16" customFormat="1" ht="15" x14ac:dyDescent="0.3">
      <c r="B7" s="21">
        <v>20</v>
      </c>
      <c r="C7" s="41">
        <v>17.399999999999999</v>
      </c>
      <c r="D7" s="42" t="s">
        <v>24</v>
      </c>
      <c r="H7" s="16" t="s">
        <v>90</v>
      </c>
    </row>
    <row r="8" spans="1:16" s="16" customFormat="1" ht="15" x14ac:dyDescent="0.3">
      <c r="B8" s="21">
        <v>30</v>
      </c>
      <c r="C8" s="41">
        <v>10.199999999999999</v>
      </c>
      <c r="D8" s="42" t="s">
        <v>24</v>
      </c>
      <c r="F8" s="22" t="s">
        <v>81</v>
      </c>
      <c r="H8" s="16" t="s">
        <v>91</v>
      </c>
    </row>
    <row r="9" spans="1:16" s="16" customFormat="1" ht="15" x14ac:dyDescent="0.3">
      <c r="B9" s="21">
        <v>20</v>
      </c>
      <c r="C9" s="41">
        <v>16.3</v>
      </c>
      <c r="D9" s="43" t="s">
        <v>25</v>
      </c>
      <c r="F9" s="44"/>
    </row>
    <row r="10" spans="1:16" s="16" customFormat="1" ht="15" x14ac:dyDescent="0.3">
      <c r="B10" s="21">
        <v>10</v>
      </c>
      <c r="C10" s="41">
        <v>12.9</v>
      </c>
      <c r="D10" s="42" t="s">
        <v>24</v>
      </c>
    </row>
    <row r="11" spans="1:16" s="16" customFormat="1" ht="15" x14ac:dyDescent="0.3">
      <c r="B11" s="21">
        <v>20</v>
      </c>
      <c r="C11" s="41">
        <v>13.7</v>
      </c>
      <c r="D11" s="42" t="s">
        <v>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1051-2FE6-43A1-89FF-9F83893B747D}">
  <sheetPr codeName="Sheet4">
    <tabColor theme="3"/>
  </sheetPr>
  <dimension ref="A1:J14"/>
  <sheetViews>
    <sheetView showGridLines="0" zoomScale="145" zoomScaleNormal="145" workbookViewId="0">
      <selection activeCell="F16" sqref="F16"/>
    </sheetView>
  </sheetViews>
  <sheetFormatPr defaultColWidth="9.140625" defaultRowHeight="14.25" x14ac:dyDescent="0.3"/>
  <cols>
    <col min="1" max="1" width="3.5703125" style="25" customWidth="1"/>
    <col min="2" max="2" width="28.5703125" style="25" customWidth="1"/>
    <col min="3" max="3" width="27.7109375" style="25" customWidth="1"/>
    <col min="4" max="4" width="5.140625" style="25" customWidth="1"/>
    <col min="5" max="5" width="10.5703125" style="25" customWidth="1"/>
    <col min="6" max="6" width="30.42578125" style="25" customWidth="1"/>
    <col min="7" max="8" width="9.140625" style="25"/>
    <col min="9" max="9" width="27.28515625" style="25" customWidth="1"/>
    <col min="10" max="10" width="19.42578125" style="25" customWidth="1"/>
    <col min="11" max="16384" width="9.140625" style="25"/>
  </cols>
  <sheetData>
    <row r="1" spans="1:10" ht="23.25" customHeight="1" x14ac:dyDescent="0.3">
      <c r="A1" s="23"/>
      <c r="B1" s="23"/>
      <c r="C1" s="23"/>
      <c r="D1" s="23"/>
      <c r="E1" s="23"/>
      <c r="F1" s="23"/>
      <c r="G1" s="24"/>
      <c r="H1" s="24"/>
      <c r="I1" s="23"/>
      <c r="J1" s="23"/>
    </row>
    <row r="2" spans="1:10" ht="23.25" customHeight="1" x14ac:dyDescent="0.3">
      <c r="A2" s="23"/>
      <c r="B2" s="29" t="s">
        <v>104</v>
      </c>
      <c r="C2" s="23"/>
      <c r="D2" s="23"/>
      <c r="E2" s="23"/>
      <c r="F2" s="23"/>
      <c r="G2" s="24"/>
      <c r="H2" s="24"/>
      <c r="I2" s="23"/>
      <c r="J2" s="23"/>
    </row>
    <row r="3" spans="1:10" ht="23.25" customHeight="1" x14ac:dyDescent="0.3">
      <c r="A3" s="26"/>
      <c r="B3" s="17" t="s">
        <v>88</v>
      </c>
      <c r="C3" s="27"/>
      <c r="D3" s="27"/>
      <c r="E3" s="27"/>
      <c r="F3" s="27"/>
      <c r="G3" s="28"/>
      <c r="H3" s="28"/>
      <c r="I3" s="18" t="s">
        <v>0</v>
      </c>
      <c r="J3" s="27"/>
    </row>
    <row r="4" spans="1:10" s="16" customFormat="1" ht="15" x14ac:dyDescent="0.3"/>
    <row r="5" spans="1:10" s="16" customFormat="1" ht="15" x14ac:dyDescent="0.3">
      <c r="B5" s="22" t="s">
        <v>83</v>
      </c>
      <c r="C5" s="22" t="s">
        <v>82</v>
      </c>
      <c r="E5" s="19" t="s">
        <v>55</v>
      </c>
      <c r="F5" s="19"/>
      <c r="G5" s="19"/>
      <c r="H5" s="19"/>
      <c r="I5" s="19"/>
    </row>
    <row r="6" spans="1:10" s="16" customFormat="1" ht="15" x14ac:dyDescent="0.3">
      <c r="B6" s="52">
        <f>DATE(2023,9,1)</f>
        <v>45170</v>
      </c>
      <c r="C6" s="53"/>
      <c r="E6" s="16" t="s">
        <v>100</v>
      </c>
    </row>
    <row r="7" spans="1:10" s="16" customFormat="1" ht="15" x14ac:dyDescent="0.3">
      <c r="C7" s="45"/>
      <c r="D7" s="45"/>
      <c r="E7" s="45"/>
      <c r="F7" s="45"/>
      <c r="G7" s="45"/>
      <c r="J7" s="16" t="s">
        <v>101</v>
      </c>
    </row>
    <row r="8" spans="1:10" s="16" customFormat="1" ht="15" x14ac:dyDescent="0.3">
      <c r="B8" s="22" t="s">
        <v>85</v>
      </c>
      <c r="C8" s="22" t="s">
        <v>84</v>
      </c>
      <c r="D8" s="45"/>
      <c r="E8" s="19" t="s">
        <v>55</v>
      </c>
      <c r="F8" s="19"/>
      <c r="G8" s="19"/>
      <c r="H8" s="19"/>
      <c r="I8" s="19"/>
    </row>
    <row r="9" spans="1:10" s="16" customFormat="1" ht="15" x14ac:dyDescent="0.3">
      <c r="B9" s="46">
        <v>20238</v>
      </c>
      <c r="C9" s="47"/>
      <c r="E9" s="16" t="s">
        <v>102</v>
      </c>
    </row>
    <row r="10" spans="1:10" s="16" customFormat="1" ht="15" x14ac:dyDescent="0.3">
      <c r="B10" s="46">
        <v>20239</v>
      </c>
      <c r="C10" s="47"/>
      <c r="E10" s="16" t="s">
        <v>103</v>
      </c>
    </row>
    <row r="11" spans="1:10" s="16" customFormat="1" ht="15" x14ac:dyDescent="0.3">
      <c r="B11" s="46">
        <v>202310</v>
      </c>
      <c r="C11" s="47"/>
    </row>
    <row r="12" spans="1:10" s="16" customFormat="1" ht="15" x14ac:dyDescent="0.3">
      <c r="B12" s="46">
        <v>202311</v>
      </c>
      <c r="C12" s="47"/>
    </row>
    <row r="13" spans="1:10" s="16" customFormat="1" ht="15" x14ac:dyDescent="0.3"/>
    <row r="14" spans="1:10" s="16" customFormat="1" ht="15" x14ac:dyDescent="0.3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DF7E-EB81-45FF-9AE2-FAD0EB2D6B36}">
  <sheetPr codeName="Sheet7">
    <tabColor theme="3"/>
  </sheetPr>
  <dimension ref="A1:M13"/>
  <sheetViews>
    <sheetView showGridLines="0" zoomScale="145" zoomScaleNormal="145" workbookViewId="0">
      <selection activeCell="E20" sqref="E20"/>
    </sheetView>
  </sheetViews>
  <sheetFormatPr defaultColWidth="9.140625" defaultRowHeight="16.5" x14ac:dyDescent="0.3"/>
  <cols>
    <col min="1" max="1" width="3.7109375" style="33" customWidth="1"/>
    <col min="2" max="2" width="15" style="33" customWidth="1"/>
    <col min="3" max="3" width="4" style="33" customWidth="1"/>
    <col min="4" max="4" width="22.28515625" style="33" customWidth="1"/>
    <col min="5" max="5" width="7.5703125" style="33" customWidth="1"/>
    <col min="6" max="12" width="9.140625" style="33"/>
    <col min="13" max="13" width="19.42578125" style="33" customWidth="1"/>
    <col min="14" max="16384" width="9.140625" style="33"/>
  </cols>
  <sheetData>
    <row r="1" spans="1:13" ht="23.25" customHeight="1" x14ac:dyDescent="0.4">
      <c r="A1" s="11"/>
      <c r="B1" s="32"/>
      <c r="C1" s="11"/>
      <c r="D1" s="12"/>
      <c r="E1" s="12"/>
      <c r="F1" s="12"/>
      <c r="G1" s="12"/>
      <c r="H1" s="12"/>
      <c r="I1" s="12"/>
      <c r="J1" s="12"/>
      <c r="K1" s="11"/>
      <c r="L1" s="11"/>
      <c r="M1" s="11"/>
    </row>
    <row r="2" spans="1:13" ht="23.25" customHeight="1" x14ac:dyDescent="0.3">
      <c r="A2" s="11"/>
      <c r="B2" s="29" t="s">
        <v>104</v>
      </c>
      <c r="C2" s="11"/>
      <c r="D2" s="12"/>
      <c r="E2" s="12"/>
      <c r="F2" s="12"/>
      <c r="G2" s="12"/>
      <c r="H2" s="12"/>
      <c r="I2" s="12"/>
      <c r="J2" s="12"/>
      <c r="K2" s="11"/>
      <c r="L2" s="11"/>
      <c r="M2" s="11"/>
    </row>
    <row r="3" spans="1:13" s="16" customFormat="1" ht="23.25" customHeight="1" x14ac:dyDescent="0.3">
      <c r="A3" s="13"/>
      <c r="B3" s="17" t="s">
        <v>38</v>
      </c>
      <c r="C3" s="14"/>
      <c r="D3" s="15"/>
      <c r="E3" s="15"/>
      <c r="F3" s="15"/>
      <c r="G3" s="15"/>
      <c r="H3" s="15"/>
      <c r="I3" s="15"/>
      <c r="J3" s="15"/>
      <c r="K3" s="14"/>
      <c r="L3" s="18" t="s">
        <v>0</v>
      </c>
      <c r="M3" s="14"/>
    </row>
    <row r="4" spans="1:13" s="16" customFormat="1" ht="17.25" customHeight="1" x14ac:dyDescent="0.3"/>
    <row r="5" spans="1:13" s="16" customFormat="1" ht="15" x14ac:dyDescent="0.3">
      <c r="B5" s="19" t="s">
        <v>55</v>
      </c>
      <c r="C5" s="20"/>
      <c r="D5" s="20"/>
      <c r="E5" s="20"/>
      <c r="F5" s="20"/>
      <c r="G5" s="20"/>
      <c r="H5" s="20"/>
      <c r="I5" s="20"/>
    </row>
    <row r="6" spans="1:13" s="16" customFormat="1" ht="15" x14ac:dyDescent="0.3">
      <c r="B6" s="16" t="s">
        <v>96</v>
      </c>
    </row>
    <row r="7" spans="1:13" s="16" customFormat="1" ht="15" x14ac:dyDescent="0.3">
      <c r="B7" s="16" t="s">
        <v>99</v>
      </c>
    </row>
    <row r="8" spans="1:13" s="16" customFormat="1" ht="15" x14ac:dyDescent="0.3">
      <c r="B8" s="16" t="s">
        <v>97</v>
      </c>
    </row>
    <row r="9" spans="1:13" s="16" customFormat="1" ht="15" x14ac:dyDescent="0.3"/>
    <row r="10" spans="1:13" s="16" customFormat="1" ht="15" x14ac:dyDescent="0.3">
      <c r="B10" s="22" t="s">
        <v>34</v>
      </c>
      <c r="D10" s="22" t="s">
        <v>35</v>
      </c>
    </row>
    <row r="11" spans="1:13" s="16" customFormat="1" ht="15" x14ac:dyDescent="0.3">
      <c r="B11" s="21">
        <v>2022</v>
      </c>
      <c r="D11" s="50"/>
    </row>
    <row r="12" spans="1:13" s="16" customFormat="1" ht="15" x14ac:dyDescent="0.3"/>
    <row r="13" spans="1:13" s="16" customFormat="1" ht="15" x14ac:dyDescent="0.3"/>
  </sheetData>
  <dataValidations count="1">
    <dataValidation type="list" allowBlank="1" showInputMessage="1" showErrorMessage="1" sqref="B11" xr:uid="{AC7B67B5-768B-42FD-8896-DBB7403EF8DA}">
      <formula1>"2022,2023,2024"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39AE-E2A0-45F4-BD2D-479947102004}">
  <sheetPr codeName="Sheet8">
    <tabColor theme="4" tint="0.39997558519241921"/>
  </sheetPr>
  <dimension ref="A1:K50"/>
  <sheetViews>
    <sheetView zoomScale="130" zoomScaleNormal="130" workbookViewId="0">
      <selection activeCell="H4" sqref="H4"/>
    </sheetView>
  </sheetViews>
  <sheetFormatPr defaultRowHeight="15" x14ac:dyDescent="0.25"/>
  <cols>
    <col min="1" max="1" width="13.42578125" style="3" customWidth="1"/>
    <col min="2" max="2" width="13.28515625" style="5" customWidth="1"/>
    <col min="4" max="4" width="14.7109375" customWidth="1"/>
    <col min="8" max="8" width="13" customWidth="1"/>
    <col min="11" max="11" width="15.7109375" customWidth="1"/>
  </cols>
  <sheetData>
    <row r="1" spans="1:11" x14ac:dyDescent="0.25">
      <c r="A1" s="3" t="s">
        <v>29</v>
      </c>
      <c r="B1" s="9">
        <v>2022</v>
      </c>
    </row>
    <row r="2" spans="1:11" x14ac:dyDescent="0.25">
      <c r="A2" s="3" t="s">
        <v>28</v>
      </c>
      <c r="B2" s="1" t="s">
        <v>20</v>
      </c>
    </row>
    <row r="3" spans="1:11" x14ac:dyDescent="0.25">
      <c r="A3" s="3" t="s">
        <v>26</v>
      </c>
      <c r="B3" s="4">
        <f>DATE(B1,1,1)</f>
        <v>44562</v>
      </c>
    </row>
    <row r="4" spans="1:11" x14ac:dyDescent="0.25">
      <c r="A4" s="3" t="s">
        <v>27</v>
      </c>
      <c r="B4" s="4">
        <f>DATE(B1,12,31)</f>
        <v>44926</v>
      </c>
      <c r="H4" t="s">
        <v>105</v>
      </c>
    </row>
    <row r="5" spans="1:11" x14ac:dyDescent="0.25">
      <c r="B5" s="1"/>
    </row>
    <row r="6" spans="1:11" x14ac:dyDescent="0.25">
      <c r="A6" s="7" t="str" cm="1">
        <f t="array" aca="1" ref="A6:D18" ca="1">_xlfn.STOCKHISTORY($B$2,$B$3,$B$4,2,1,0,,2,1,5)</f>
        <v>Date</v>
      </c>
      <c r="B6" s="5" t="str">
        <f ca="1"/>
        <v>Open</v>
      </c>
      <c r="C6" s="5" t="str">
        <f ca="1"/>
        <v>Close</v>
      </c>
      <c r="D6" s="1" t="str">
        <f ca="1"/>
        <v>Volume</v>
      </c>
      <c r="H6" t="s">
        <v>30</v>
      </c>
      <c r="I6" t="s">
        <v>31</v>
      </c>
      <c r="J6" t="s">
        <v>32</v>
      </c>
      <c r="K6" t="s">
        <v>33</v>
      </c>
    </row>
    <row r="7" spans="1:11" x14ac:dyDescent="0.25">
      <c r="A7" s="10" vm="1">
        <f ca="1"/>
        <v>44562</v>
      </c>
      <c r="B7" s="5" vm="2">
        <f ca="1"/>
        <v>177.83</v>
      </c>
      <c r="C7" s="2" vm="3">
        <f ca="1"/>
        <v>174.78</v>
      </c>
      <c r="D7" vm="4">
        <f ca="1"/>
        <v>2109283280</v>
      </c>
      <c r="H7" s="10" vm="1">
        <v>44562</v>
      </c>
      <c r="I7" s="5" vm="2">
        <v>177.83</v>
      </c>
      <c r="J7" s="2" vm="3">
        <v>174.78</v>
      </c>
      <c r="K7" s="6" vm="4">
        <v>2109283280</v>
      </c>
    </row>
    <row r="8" spans="1:11" x14ac:dyDescent="0.25">
      <c r="A8" s="10" vm="5">
        <f ca="1"/>
        <v>44593</v>
      </c>
      <c r="B8" s="5" vm="6">
        <f ca="1"/>
        <v>174.01</v>
      </c>
      <c r="C8" s="2" vm="7">
        <f ca="1"/>
        <v>165.12</v>
      </c>
      <c r="D8" vm="8">
        <f ca="1"/>
        <v>1629275348</v>
      </c>
      <c r="H8" s="10" vm="5">
        <v>44593</v>
      </c>
      <c r="I8" s="5" vm="6">
        <v>174.01</v>
      </c>
      <c r="J8" s="2" vm="7">
        <v>165.12</v>
      </c>
      <c r="K8" s="6" vm="8">
        <v>1629275348</v>
      </c>
    </row>
    <row r="9" spans="1:11" x14ac:dyDescent="0.25">
      <c r="A9" s="10" vm="9">
        <f ca="1"/>
        <v>44621</v>
      </c>
      <c r="B9" s="5" vm="10">
        <f ca="1"/>
        <v>164.69499999999999</v>
      </c>
      <c r="C9" s="2" vm="11">
        <f ca="1"/>
        <v>174.61</v>
      </c>
      <c r="D9" vm="12">
        <f ca="1"/>
        <v>2180882413</v>
      </c>
      <c r="H9" s="10" vm="9">
        <v>44621</v>
      </c>
      <c r="I9" s="5" vm="10">
        <v>164.69499999999999</v>
      </c>
      <c r="J9" s="2" vm="11">
        <v>174.61</v>
      </c>
      <c r="K9" s="6" vm="12">
        <v>2180882413</v>
      </c>
    </row>
    <row r="10" spans="1:11" x14ac:dyDescent="0.25">
      <c r="A10" s="10" vm="13">
        <f ca="1"/>
        <v>44652</v>
      </c>
      <c r="B10" s="5" vm="14">
        <f ca="1"/>
        <v>174.03</v>
      </c>
      <c r="C10" s="2" vm="15">
        <f ca="1"/>
        <v>157.65</v>
      </c>
      <c r="D10" vm="16">
        <f ca="1"/>
        <v>1687873175</v>
      </c>
      <c r="H10" s="10" vm="13">
        <v>44652</v>
      </c>
      <c r="I10" s="5" vm="14">
        <v>174.03</v>
      </c>
      <c r="J10" s="2" vm="15">
        <v>157.65</v>
      </c>
      <c r="K10" s="6" vm="16">
        <v>1687873175</v>
      </c>
    </row>
    <row r="11" spans="1:11" x14ac:dyDescent="0.25">
      <c r="A11" s="10" vm="17">
        <f ca="1"/>
        <v>44682</v>
      </c>
      <c r="B11" s="5" vm="18">
        <f ca="1"/>
        <v>156.71</v>
      </c>
      <c r="C11" s="2" vm="19">
        <f ca="1"/>
        <v>148.84</v>
      </c>
      <c r="D11" vm="20">
        <f ca="1"/>
        <v>2401040455</v>
      </c>
      <c r="H11" s="10" vm="17">
        <v>44682</v>
      </c>
      <c r="I11" s="5" vm="18">
        <v>156.71</v>
      </c>
      <c r="J11" s="2" vm="19">
        <v>148.84</v>
      </c>
      <c r="K11" s="6" vm="20">
        <v>2401040455</v>
      </c>
    </row>
    <row r="12" spans="1:11" x14ac:dyDescent="0.25">
      <c r="A12" s="10" vm="21">
        <f ca="1"/>
        <v>44713</v>
      </c>
      <c r="B12" s="5" vm="22">
        <f ca="1"/>
        <v>149.9</v>
      </c>
      <c r="C12" s="2" vm="23">
        <f ca="1"/>
        <v>136.72</v>
      </c>
      <c r="D12" vm="24">
        <f ca="1"/>
        <v>1749297959</v>
      </c>
      <c r="H12" s="10" vm="21">
        <v>44713</v>
      </c>
      <c r="I12" s="5" vm="22">
        <v>149.9</v>
      </c>
      <c r="J12" s="2" vm="23">
        <v>136.72</v>
      </c>
      <c r="K12" s="6" vm="24">
        <v>1749297959</v>
      </c>
    </row>
    <row r="13" spans="1:11" x14ac:dyDescent="0.25">
      <c r="A13" s="10" vm="25">
        <f ca="1"/>
        <v>44743</v>
      </c>
      <c r="B13" s="5" vm="26">
        <f ca="1"/>
        <v>136.04</v>
      </c>
      <c r="C13" s="2" vm="27">
        <f ca="1"/>
        <v>162.51</v>
      </c>
      <c r="D13" vm="28">
        <f ca="1"/>
        <v>1447364668</v>
      </c>
      <c r="H13" s="10" vm="25">
        <v>44743</v>
      </c>
      <c r="I13" s="5" vm="26">
        <v>136.04</v>
      </c>
      <c r="J13" s="2" vm="27">
        <v>162.51</v>
      </c>
      <c r="K13" s="6" vm="28">
        <v>1447364668</v>
      </c>
    </row>
    <row r="14" spans="1:11" x14ac:dyDescent="0.25">
      <c r="A14" s="10" vm="29">
        <f ca="1"/>
        <v>44774</v>
      </c>
      <c r="B14" s="5" vm="30">
        <f ca="1"/>
        <v>161.01</v>
      </c>
      <c r="C14" s="2" vm="31">
        <f ca="1"/>
        <v>157.22</v>
      </c>
      <c r="D14" vm="32">
        <f ca="1"/>
        <v>1510324936</v>
      </c>
      <c r="H14" s="10" vm="29">
        <v>44774</v>
      </c>
      <c r="I14" s="5" vm="30">
        <v>161.01</v>
      </c>
      <c r="J14" s="2" vm="31">
        <v>157.22</v>
      </c>
      <c r="K14" s="6" vm="32">
        <v>1510324936</v>
      </c>
    </row>
    <row r="15" spans="1:11" x14ac:dyDescent="0.25">
      <c r="A15" s="10" vm="33">
        <f ca="1"/>
        <v>44805</v>
      </c>
      <c r="B15" s="5" vm="34">
        <f ca="1"/>
        <v>156.63999999999999</v>
      </c>
      <c r="C15" s="2" vm="35">
        <f ca="1"/>
        <v>138.19999999999999</v>
      </c>
      <c r="D15" vm="36">
        <f ca="1"/>
        <v>2084775201</v>
      </c>
      <c r="H15" s="10" vm="33">
        <v>44805</v>
      </c>
      <c r="I15" s="5" vm="34">
        <v>156.63999999999999</v>
      </c>
      <c r="J15" s="2" vm="35">
        <v>138.19999999999999</v>
      </c>
      <c r="K15" s="6" vm="36">
        <v>2084775201</v>
      </c>
    </row>
    <row r="16" spans="1:11" x14ac:dyDescent="0.25">
      <c r="A16" s="10" vm="37">
        <f ca="1"/>
        <v>44835</v>
      </c>
      <c r="B16" s="5" vm="38">
        <f ca="1"/>
        <v>138.21</v>
      </c>
      <c r="C16" s="2" vm="39">
        <f ca="1"/>
        <v>153.34</v>
      </c>
      <c r="D16" vm="40">
        <f ca="1"/>
        <v>1868381344</v>
      </c>
      <c r="H16" s="10" vm="37">
        <v>44835</v>
      </c>
      <c r="I16" s="5" vm="38">
        <v>138.21</v>
      </c>
      <c r="J16" s="2" vm="39">
        <v>153.34</v>
      </c>
      <c r="K16" s="6" vm="40">
        <v>1868381344</v>
      </c>
    </row>
    <row r="17" spans="1:11" x14ac:dyDescent="0.25">
      <c r="A17" s="10" vm="41">
        <f ca="1"/>
        <v>44866</v>
      </c>
      <c r="B17" s="5" vm="42">
        <f ca="1"/>
        <v>155.08000000000001</v>
      </c>
      <c r="C17" s="2" vm="43">
        <f ca="1"/>
        <v>148.03</v>
      </c>
      <c r="D17" vm="44">
        <f ca="1"/>
        <v>1724948219</v>
      </c>
      <c r="H17" s="10" vm="41">
        <v>44866</v>
      </c>
      <c r="I17" s="5" vm="42">
        <v>155.08000000000001</v>
      </c>
      <c r="J17" s="2" vm="43">
        <v>148.03</v>
      </c>
      <c r="K17" s="6" vm="44">
        <v>1724948219</v>
      </c>
    </row>
    <row r="18" spans="1:11" x14ac:dyDescent="0.25">
      <c r="A18" s="10" vm="45">
        <f ca="1"/>
        <v>44896</v>
      </c>
      <c r="B18" s="5" vm="46">
        <f ca="1"/>
        <v>148.21</v>
      </c>
      <c r="C18" s="2" vm="47">
        <f ca="1"/>
        <v>129.93</v>
      </c>
      <c r="D18" vm="48">
        <f ca="1"/>
        <v>1675731304</v>
      </c>
      <c r="H18" s="10" vm="45">
        <v>44896</v>
      </c>
      <c r="I18" s="5" vm="46">
        <v>148.21</v>
      </c>
      <c r="J18" s="2" vm="47">
        <v>129.93</v>
      </c>
      <c r="K18" s="6" vm="48">
        <v>1675731304</v>
      </c>
    </row>
    <row r="19" spans="1:11" x14ac:dyDescent="0.25">
      <c r="A19" s="10"/>
      <c r="C19" s="2"/>
    </row>
    <row r="20" spans="1:11" x14ac:dyDescent="0.25">
      <c r="A20" s="10"/>
      <c r="C20" s="2"/>
    </row>
    <row r="21" spans="1:11" x14ac:dyDescent="0.25">
      <c r="A21" s="10"/>
      <c r="C21" s="2"/>
    </row>
    <row r="22" spans="1:11" x14ac:dyDescent="0.25">
      <c r="A22" s="10"/>
      <c r="C22" s="2"/>
    </row>
    <row r="23" spans="1:11" x14ac:dyDescent="0.25">
      <c r="A23" s="10"/>
      <c r="C23" s="2"/>
    </row>
    <row r="24" spans="1:11" x14ac:dyDescent="0.25">
      <c r="A24" s="10"/>
      <c r="C24" s="2"/>
    </row>
    <row r="25" spans="1:11" x14ac:dyDescent="0.25">
      <c r="A25" s="10"/>
      <c r="C25" s="2"/>
    </row>
    <row r="26" spans="1:11" x14ac:dyDescent="0.25">
      <c r="A26" s="10"/>
      <c r="C26" s="2"/>
    </row>
    <row r="27" spans="1:11" x14ac:dyDescent="0.25">
      <c r="A27" s="10"/>
      <c r="C27" s="2"/>
    </row>
    <row r="28" spans="1:11" x14ac:dyDescent="0.25">
      <c r="A28" s="10"/>
      <c r="C28" s="2"/>
    </row>
    <row r="29" spans="1:11" x14ac:dyDescent="0.25">
      <c r="A29" s="10"/>
      <c r="C29" s="2"/>
    </row>
    <row r="30" spans="1:11" x14ac:dyDescent="0.25">
      <c r="A30" s="10"/>
      <c r="C30" s="2"/>
    </row>
    <row r="31" spans="1:11" x14ac:dyDescent="0.25">
      <c r="A31" s="10"/>
      <c r="C31" s="2"/>
    </row>
    <row r="32" spans="1:11" x14ac:dyDescent="0.25">
      <c r="A32" s="10"/>
      <c r="C32" s="2"/>
    </row>
    <row r="33" spans="1:3" x14ac:dyDescent="0.25">
      <c r="A33" s="10"/>
      <c r="C33" s="2"/>
    </row>
    <row r="34" spans="1:3" x14ac:dyDescent="0.25">
      <c r="A34" s="10"/>
      <c r="C34" s="2"/>
    </row>
    <row r="35" spans="1:3" x14ac:dyDescent="0.25">
      <c r="A35" s="10"/>
    </row>
    <row r="36" spans="1:3" x14ac:dyDescent="0.25">
      <c r="A36" s="10"/>
    </row>
    <row r="37" spans="1:3" x14ac:dyDescent="0.25">
      <c r="A37" s="10"/>
    </row>
    <row r="38" spans="1:3" x14ac:dyDescent="0.25">
      <c r="A38" s="10"/>
    </row>
    <row r="39" spans="1:3" x14ac:dyDescent="0.25">
      <c r="A39" s="10"/>
    </row>
    <row r="50" spans="7:7" x14ac:dyDescent="0.25">
      <c r="G50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D271-2891-443A-80B5-35DA97D7F9DD}">
  <sheetPr codeName="Sheet9">
    <tabColor theme="4" tint="0.39997558519241921"/>
  </sheetPr>
  <dimension ref="A1:K30"/>
  <sheetViews>
    <sheetView zoomScale="130" zoomScaleNormal="130" workbookViewId="0">
      <selection activeCell="H4" sqref="H4"/>
    </sheetView>
  </sheetViews>
  <sheetFormatPr defaultRowHeight="15" x14ac:dyDescent="0.25"/>
  <cols>
    <col min="1" max="1" width="11.5703125" customWidth="1"/>
    <col min="2" max="2" width="14.7109375" customWidth="1"/>
    <col min="4" max="4" width="15.42578125" customWidth="1"/>
    <col min="8" max="11" width="13.85546875" customWidth="1"/>
  </cols>
  <sheetData>
    <row r="1" spans="1:11" x14ac:dyDescent="0.25">
      <c r="A1" s="3" t="s">
        <v>29</v>
      </c>
      <c r="B1" s="9">
        <v>2023</v>
      </c>
    </row>
    <row r="2" spans="1:11" x14ac:dyDescent="0.25">
      <c r="A2" s="3" t="s">
        <v>28</v>
      </c>
      <c r="B2" s="1" t="s">
        <v>20</v>
      </c>
    </row>
    <row r="3" spans="1:11" x14ac:dyDescent="0.25">
      <c r="A3" s="3" t="s">
        <v>26</v>
      </c>
      <c r="B3" s="4">
        <f>DATE(B1,1,1)</f>
        <v>44927</v>
      </c>
    </row>
    <row r="4" spans="1:11" x14ac:dyDescent="0.25">
      <c r="A4" s="3" t="s">
        <v>27</v>
      </c>
      <c r="B4" s="4">
        <f>DATE(B1,12,31)</f>
        <v>45291</v>
      </c>
      <c r="H4" t="s">
        <v>105</v>
      </c>
    </row>
    <row r="6" spans="1:11" x14ac:dyDescent="0.25">
      <c r="A6" s="8" t="str" cm="1">
        <f t="array" aca="1" ref="A6:D18" ca="1">_xlfn.STOCKHISTORY($B$2,$B$3,$B$4,2,1,0,,2,1,5)</f>
        <v>Date</v>
      </c>
      <c r="B6" t="str">
        <f ca="1"/>
        <v>Open</v>
      </c>
      <c r="C6" t="str">
        <f ca="1"/>
        <v>Close</v>
      </c>
      <c r="D6" t="str">
        <f ca="1"/>
        <v>Volume</v>
      </c>
      <c r="H6" t="s">
        <v>30</v>
      </c>
      <c r="I6" t="s">
        <v>31</v>
      </c>
      <c r="J6" t="s">
        <v>32</v>
      </c>
      <c r="K6" t="s">
        <v>33</v>
      </c>
    </row>
    <row r="7" spans="1:11" x14ac:dyDescent="0.25">
      <c r="A7" s="10" vm="49">
        <f ca="1"/>
        <v>44927</v>
      </c>
      <c r="B7" s="5" vm="50">
        <f ca="1"/>
        <v>130.28</v>
      </c>
      <c r="C7" s="2" vm="51">
        <f ca="1"/>
        <v>144.29</v>
      </c>
      <c r="D7" s="6" vm="52">
        <f ca="1"/>
        <v>1443652725</v>
      </c>
      <c r="H7" s="10" vm="49">
        <v>44927</v>
      </c>
      <c r="I7" s="5" vm="50">
        <v>130.28</v>
      </c>
      <c r="J7" s="2" vm="51">
        <v>144.29</v>
      </c>
      <c r="K7" s="6" vm="52">
        <v>1443652725</v>
      </c>
    </row>
    <row r="8" spans="1:11" x14ac:dyDescent="0.25">
      <c r="A8" s="10" vm="53">
        <f ca="1"/>
        <v>44958</v>
      </c>
      <c r="B8" s="5" vm="54">
        <f ca="1"/>
        <v>143.97</v>
      </c>
      <c r="C8" s="2" vm="55">
        <f ca="1"/>
        <v>147.41</v>
      </c>
      <c r="D8" s="6" vm="56">
        <f ca="1"/>
        <v>1307294493</v>
      </c>
      <c r="H8" s="10" vm="53">
        <v>44958</v>
      </c>
      <c r="I8" s="5" vm="54">
        <v>143.97</v>
      </c>
      <c r="J8" s="2" vm="55">
        <v>147.41</v>
      </c>
      <c r="K8" s="6" vm="56">
        <v>1307294493</v>
      </c>
    </row>
    <row r="9" spans="1:11" x14ac:dyDescent="0.25">
      <c r="A9" s="10" vm="57">
        <f ca="1"/>
        <v>44986</v>
      </c>
      <c r="B9" s="5" vm="58">
        <f ca="1"/>
        <v>146.83000000000001</v>
      </c>
      <c r="C9" s="2" vm="59">
        <f ca="1"/>
        <v>164.9</v>
      </c>
      <c r="D9" s="6" vm="60">
        <f ca="1"/>
        <v>1520461315</v>
      </c>
      <c r="H9" s="10" vm="57">
        <v>44986</v>
      </c>
      <c r="I9" s="5" vm="58">
        <v>146.83000000000001</v>
      </c>
      <c r="J9" s="2" vm="59">
        <v>164.9</v>
      </c>
      <c r="K9" s="6" vm="60">
        <v>1520461315</v>
      </c>
    </row>
    <row r="10" spans="1:11" x14ac:dyDescent="0.25">
      <c r="A10" s="10" vm="61">
        <f ca="1"/>
        <v>45017</v>
      </c>
      <c r="B10" s="5" vm="62">
        <f ca="1"/>
        <v>164.27</v>
      </c>
      <c r="C10" s="2" vm="63">
        <f ca="1"/>
        <v>169.68</v>
      </c>
      <c r="D10" s="6" vm="64">
        <f ca="1"/>
        <v>969776368</v>
      </c>
      <c r="H10" s="10" vm="61">
        <v>45017</v>
      </c>
      <c r="I10" s="5" vm="62">
        <v>164.27</v>
      </c>
      <c r="J10" s="2" vm="63">
        <v>169.68</v>
      </c>
      <c r="K10" s="6" vm="64">
        <v>969776368</v>
      </c>
    </row>
    <row r="11" spans="1:11" x14ac:dyDescent="0.25">
      <c r="A11" s="10" vm="65">
        <f ca="1"/>
        <v>45047</v>
      </c>
      <c r="B11" s="5" vm="66">
        <f ca="1"/>
        <v>169.28</v>
      </c>
      <c r="C11" s="2" vm="67">
        <f ca="1"/>
        <v>177.25</v>
      </c>
      <c r="D11" s="6" vm="68">
        <f ca="1"/>
        <v>1275364523</v>
      </c>
      <c r="H11" s="10" vm="65">
        <v>45047</v>
      </c>
      <c r="I11" s="5" vm="66">
        <v>169.28</v>
      </c>
      <c r="J11" s="2" vm="67">
        <v>177.25</v>
      </c>
      <c r="K11" s="6" vm="68">
        <v>1275364523</v>
      </c>
    </row>
    <row r="12" spans="1:11" x14ac:dyDescent="0.25">
      <c r="A12" s="10" vm="69">
        <f ca="1"/>
        <v>45078</v>
      </c>
      <c r="B12" s="5" vm="70">
        <f ca="1"/>
        <v>177.7</v>
      </c>
      <c r="C12" s="2" vm="71">
        <f ca="1"/>
        <v>193.97</v>
      </c>
      <c r="D12" s="6" vm="72">
        <f ca="1"/>
        <v>1297863403</v>
      </c>
      <c r="H12" s="10" vm="69">
        <v>45078</v>
      </c>
      <c r="I12" s="5" vm="70">
        <v>177.7</v>
      </c>
      <c r="J12" s="2" vm="71">
        <v>193.97</v>
      </c>
      <c r="K12" s="6" vm="72">
        <v>1297863403</v>
      </c>
    </row>
    <row r="13" spans="1:11" x14ac:dyDescent="0.25">
      <c r="A13" s="10" vm="73">
        <f ca="1"/>
        <v>45108</v>
      </c>
      <c r="B13" s="5" vm="74">
        <f ca="1"/>
        <v>193.78</v>
      </c>
      <c r="C13" s="2" vm="75">
        <f ca="1"/>
        <v>196.45</v>
      </c>
      <c r="D13" s="6" vm="76">
        <f ca="1"/>
        <v>996368613</v>
      </c>
      <c r="H13" s="10" vm="73">
        <v>45108</v>
      </c>
      <c r="I13" s="5" vm="74">
        <v>193.78</v>
      </c>
      <c r="J13" s="2" vm="75">
        <v>196.45</v>
      </c>
      <c r="K13" s="6" vm="76">
        <v>996368613</v>
      </c>
    </row>
    <row r="14" spans="1:11" x14ac:dyDescent="0.25">
      <c r="A14" s="10" vm="77">
        <f ca="1"/>
        <v>45139</v>
      </c>
      <c r="B14" s="5" vm="78">
        <f ca="1"/>
        <v>196.23500000000001</v>
      </c>
      <c r="C14" s="2" vm="79">
        <f ca="1"/>
        <v>187.87</v>
      </c>
      <c r="D14" s="6" vm="80">
        <f ca="1"/>
        <v>1323817340</v>
      </c>
      <c r="H14" s="10" vm="77">
        <v>45139</v>
      </c>
      <c r="I14" s="5" vm="78">
        <v>196.23500000000001</v>
      </c>
      <c r="J14" s="2" vm="79">
        <v>187.87</v>
      </c>
      <c r="K14" s="6" vm="80">
        <v>1323817340</v>
      </c>
    </row>
    <row r="15" spans="1:11" x14ac:dyDescent="0.25">
      <c r="A15" s="10" vm="81">
        <f ca="1"/>
        <v>45170</v>
      </c>
      <c r="B15" s="5" vm="82">
        <f ca="1"/>
        <v>189.48500000000001</v>
      </c>
      <c r="C15" s="2" vm="83">
        <f ca="1"/>
        <v>171.21</v>
      </c>
      <c r="D15" s="6" vm="84">
        <f ca="1"/>
        <v>1337873796</v>
      </c>
      <c r="H15" s="10" vm="81">
        <v>45170</v>
      </c>
      <c r="I15" s="5" vm="82">
        <v>189.48500000000001</v>
      </c>
      <c r="J15" s="2" vm="83">
        <v>171.21</v>
      </c>
      <c r="K15" s="6" vm="84">
        <v>1337873796</v>
      </c>
    </row>
    <row r="16" spans="1:11" x14ac:dyDescent="0.25">
      <c r="A16" s="10" vm="85">
        <f ca="1"/>
        <v>45200</v>
      </c>
      <c r="B16" s="5" vm="86">
        <f ca="1"/>
        <v>171.22</v>
      </c>
      <c r="C16" s="2" vm="87">
        <f ca="1"/>
        <v>170.77</v>
      </c>
      <c r="D16" s="6" vm="88">
        <f ca="1"/>
        <v>1172845791</v>
      </c>
      <c r="H16" s="10" vm="85">
        <v>45200</v>
      </c>
      <c r="I16" s="5" vm="86">
        <v>171.22</v>
      </c>
      <c r="J16" s="2" vm="87">
        <v>170.77</v>
      </c>
      <c r="K16" s="6" vm="88">
        <v>1172845791</v>
      </c>
    </row>
    <row r="17" spans="1:11" x14ac:dyDescent="0.25">
      <c r="A17" s="10" vm="89">
        <f ca="1"/>
        <v>45231</v>
      </c>
      <c r="B17" s="5" vm="90">
        <f ca="1"/>
        <v>171</v>
      </c>
      <c r="C17" s="2" vm="91">
        <f ca="1"/>
        <v>189.95</v>
      </c>
      <c r="D17" s="6" vm="92">
        <f ca="1"/>
        <v>1099760711</v>
      </c>
      <c r="H17" s="10" vm="89">
        <v>45231</v>
      </c>
      <c r="I17" s="5" vm="90">
        <v>171</v>
      </c>
      <c r="J17" s="2" vm="91">
        <v>189.95</v>
      </c>
      <c r="K17" s="6" vm="92">
        <v>1099760711</v>
      </c>
    </row>
    <row r="18" spans="1:11" x14ac:dyDescent="0.25">
      <c r="A18" s="10" vm="93">
        <f ca="1"/>
        <v>45261</v>
      </c>
      <c r="B18" s="5" vm="94">
        <f ca="1"/>
        <v>190.33</v>
      </c>
      <c r="C18" s="2" vm="95">
        <f ca="1"/>
        <v>192.53</v>
      </c>
      <c r="D18" s="6" vm="96">
        <f ca="1"/>
        <v>1063181128</v>
      </c>
      <c r="H18" s="10" vm="93">
        <v>45261</v>
      </c>
      <c r="I18" s="5" vm="94">
        <v>190.33</v>
      </c>
      <c r="J18" s="2" vm="95">
        <v>192.53</v>
      </c>
      <c r="K18" s="6" vm="96">
        <v>1063181128</v>
      </c>
    </row>
    <row r="19" spans="1:11" x14ac:dyDescent="0.25">
      <c r="A19" s="10"/>
      <c r="B19" s="5"/>
      <c r="C19" s="2"/>
    </row>
    <row r="20" spans="1:11" x14ac:dyDescent="0.25">
      <c r="A20" s="10"/>
      <c r="B20" s="5"/>
      <c r="C20" s="2"/>
    </row>
    <row r="21" spans="1:11" x14ac:dyDescent="0.25">
      <c r="A21" s="10"/>
      <c r="B21" s="5"/>
      <c r="C21" s="2"/>
    </row>
    <row r="22" spans="1:11" x14ac:dyDescent="0.25">
      <c r="A22" s="10"/>
      <c r="B22" s="5"/>
      <c r="C22" s="2"/>
    </row>
    <row r="23" spans="1:11" x14ac:dyDescent="0.25">
      <c r="A23" s="10"/>
      <c r="B23" s="5"/>
      <c r="C23" s="2"/>
    </row>
    <row r="24" spans="1:11" x14ac:dyDescent="0.25">
      <c r="A24" s="10"/>
      <c r="B24" s="5"/>
      <c r="C24" s="2"/>
    </row>
    <row r="25" spans="1:11" x14ac:dyDescent="0.25">
      <c r="A25" s="10"/>
      <c r="B25" s="5"/>
      <c r="C25" s="2"/>
    </row>
    <row r="26" spans="1:11" x14ac:dyDescent="0.25">
      <c r="A26" s="10"/>
      <c r="B26" s="5"/>
      <c r="C26" s="2"/>
    </row>
    <row r="27" spans="1:11" x14ac:dyDescent="0.25">
      <c r="A27" s="10"/>
      <c r="B27" s="5"/>
      <c r="C27" s="2"/>
    </row>
    <row r="28" spans="1:11" x14ac:dyDescent="0.25">
      <c r="A28" s="10"/>
      <c r="B28" s="5"/>
      <c r="C28" s="2"/>
    </row>
    <row r="29" spans="1:11" x14ac:dyDescent="0.25">
      <c r="A29" s="10"/>
      <c r="B29" s="5"/>
      <c r="C29" s="2"/>
    </row>
    <row r="30" spans="1:11" x14ac:dyDescent="0.25">
      <c r="B30" s="5"/>
      <c r="C3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3DB1-4C55-45D0-B1A2-1DC237FB4C93}">
  <sheetPr codeName="Sheet10">
    <tabColor theme="4" tint="0.39997558519241921"/>
  </sheetPr>
  <dimension ref="A1:K27"/>
  <sheetViews>
    <sheetView zoomScale="130" zoomScaleNormal="130" workbookViewId="0">
      <selection activeCell="D4" sqref="D4"/>
    </sheetView>
  </sheetViews>
  <sheetFormatPr defaultRowHeight="15" x14ac:dyDescent="0.25"/>
  <cols>
    <col min="1" max="1" width="13.140625" customWidth="1"/>
    <col min="2" max="2" width="11.85546875" customWidth="1"/>
    <col min="4" max="4" width="14.5703125" customWidth="1"/>
    <col min="8" max="10" width="12.5703125" customWidth="1"/>
    <col min="11" max="11" width="15.5703125" customWidth="1"/>
  </cols>
  <sheetData>
    <row r="1" spans="1:11" x14ac:dyDescent="0.25">
      <c r="A1" s="3" t="s">
        <v>29</v>
      </c>
      <c r="B1" s="9">
        <v>2024</v>
      </c>
    </row>
    <row r="2" spans="1:11" x14ac:dyDescent="0.25">
      <c r="A2" s="3" t="s">
        <v>28</v>
      </c>
      <c r="B2" s="1" t="s">
        <v>20</v>
      </c>
    </row>
    <row r="3" spans="1:11" x14ac:dyDescent="0.25">
      <c r="A3" s="3" t="s">
        <v>26</v>
      </c>
      <c r="B3" s="4">
        <f>DATE(B1,1,1)</f>
        <v>45292</v>
      </c>
    </row>
    <row r="4" spans="1:11" x14ac:dyDescent="0.25">
      <c r="A4" s="3" t="s">
        <v>27</v>
      </c>
      <c r="B4" s="4">
        <f>DATE(B1,12,31)</f>
        <v>45657</v>
      </c>
      <c r="H4" t="s">
        <v>105</v>
      </c>
    </row>
    <row r="6" spans="1:11" x14ac:dyDescent="0.25">
      <c r="A6" s="8" t="str" cm="1">
        <f t="array" aca="1" ref="A6:D11" ca="1">_xlfn.STOCKHISTORY($B$2,$B$3,$B$4,2,1,0,,2,1,5)</f>
        <v>Date</v>
      </c>
      <c r="B6" t="str">
        <f ca="1"/>
        <v>Open</v>
      </c>
      <c r="C6" t="str">
        <f ca="1"/>
        <v>Close</v>
      </c>
      <c r="D6" t="str">
        <f ca="1"/>
        <v>Volume</v>
      </c>
      <c r="H6" t="s">
        <v>30</v>
      </c>
      <c r="I6" t="s">
        <v>31</v>
      </c>
      <c r="J6" t="s">
        <v>32</v>
      </c>
      <c r="K6" t="s">
        <v>33</v>
      </c>
    </row>
    <row r="7" spans="1:11" x14ac:dyDescent="0.25">
      <c r="A7" s="10" vm="97">
        <f ca="1"/>
        <v>45292</v>
      </c>
      <c r="B7" s="5" vm="98">
        <f ca="1"/>
        <v>187.15</v>
      </c>
      <c r="C7" s="2" vm="99">
        <f ca="1"/>
        <v>184.4</v>
      </c>
      <c r="D7" s="6" vm="100">
        <f ca="1"/>
        <v>1187490645</v>
      </c>
      <c r="H7" s="10" vm="97">
        <v>45292</v>
      </c>
      <c r="I7" s="5" vm="98">
        <v>187.15</v>
      </c>
      <c r="J7" s="2" vm="99">
        <v>184.4</v>
      </c>
      <c r="K7" s="6" vm="100">
        <v>1187490645</v>
      </c>
    </row>
    <row r="8" spans="1:11" x14ac:dyDescent="0.25">
      <c r="A8" s="10" vm="101">
        <f ca="1"/>
        <v>45323</v>
      </c>
      <c r="B8" s="5" vm="102">
        <f ca="1"/>
        <v>183.98500000000001</v>
      </c>
      <c r="C8" s="2" vm="103">
        <f ca="1"/>
        <v>180.75</v>
      </c>
      <c r="D8" s="6" vm="104">
        <f ca="1"/>
        <v>1161711745</v>
      </c>
      <c r="H8" s="10" vm="101">
        <v>45323</v>
      </c>
      <c r="I8" s="5" vm="102">
        <v>183.98500000000001</v>
      </c>
      <c r="J8" s="2" vm="103">
        <v>180.75</v>
      </c>
      <c r="K8" s="6" vm="104">
        <v>1161711745</v>
      </c>
    </row>
    <row r="9" spans="1:11" x14ac:dyDescent="0.25">
      <c r="A9" s="10" vm="105">
        <f ca="1"/>
        <v>45352</v>
      </c>
      <c r="B9" s="5" vm="106">
        <f ca="1"/>
        <v>179.55</v>
      </c>
      <c r="C9" s="2" vm="107">
        <f ca="1"/>
        <v>171.48</v>
      </c>
      <c r="D9" s="6" vm="108">
        <f ca="1"/>
        <v>1433151760</v>
      </c>
      <c r="H9" s="10" vm="105">
        <v>45352</v>
      </c>
      <c r="I9" s="5" vm="106">
        <v>179.55</v>
      </c>
      <c r="J9" s="2" vm="107">
        <v>171.48</v>
      </c>
      <c r="K9" s="6" vm="108">
        <v>1433151760</v>
      </c>
    </row>
    <row r="10" spans="1:11" x14ac:dyDescent="0.25">
      <c r="A10" s="10" vm="109">
        <f ca="1"/>
        <v>45383</v>
      </c>
      <c r="B10" s="5" vm="110">
        <f ca="1"/>
        <v>171.19</v>
      </c>
      <c r="C10" s="2" vm="111">
        <f ca="1"/>
        <v>170.33</v>
      </c>
      <c r="D10" s="6" vm="112">
        <f ca="1"/>
        <v>1246221542</v>
      </c>
      <c r="H10" s="10" vm="109">
        <v>45383</v>
      </c>
      <c r="I10" s="5" vm="110">
        <v>171.19</v>
      </c>
      <c r="J10" s="2" vm="113">
        <v>172.69</v>
      </c>
      <c r="K10" s="6" vm="114">
        <v>634929900</v>
      </c>
    </row>
    <row r="11" spans="1:11" x14ac:dyDescent="0.25">
      <c r="A11" s="10" vm="115">
        <f ca="1"/>
        <v>45413</v>
      </c>
      <c r="B11" s="5" vm="116">
        <f ca="1"/>
        <v>169.58</v>
      </c>
      <c r="C11" s="2" vm="117">
        <f ca="1"/>
        <v>181.71</v>
      </c>
      <c r="D11" s="6" vm="118">
        <f ca="1"/>
        <v>386391838</v>
      </c>
    </row>
    <row r="12" spans="1:11" x14ac:dyDescent="0.25">
      <c r="A12" s="10"/>
      <c r="B12" s="5"/>
      <c r="C12" s="2"/>
      <c r="D12" s="6"/>
    </row>
    <row r="13" spans="1:11" x14ac:dyDescent="0.25">
      <c r="A13" s="10"/>
      <c r="B13" s="5"/>
      <c r="C13" s="2"/>
      <c r="D13" s="6"/>
    </row>
    <row r="14" spans="1:11" x14ac:dyDescent="0.25">
      <c r="A14" s="10"/>
      <c r="B14" s="5"/>
      <c r="C14" s="2"/>
      <c r="D14" s="6"/>
    </row>
    <row r="15" spans="1:11" x14ac:dyDescent="0.25">
      <c r="A15" s="10"/>
      <c r="B15" s="5"/>
      <c r="C15" s="2"/>
      <c r="D15" s="6"/>
    </row>
    <row r="16" spans="1:11" x14ac:dyDescent="0.25">
      <c r="A16" s="10"/>
      <c r="B16" s="5"/>
      <c r="C16" s="2"/>
      <c r="D16" s="6"/>
    </row>
    <row r="17" spans="1:4" x14ac:dyDescent="0.25">
      <c r="A17" s="10"/>
      <c r="B17" s="5"/>
      <c r="C17" s="2"/>
      <c r="D17" s="6"/>
    </row>
    <row r="18" spans="1:4" x14ac:dyDescent="0.25">
      <c r="A18" s="10"/>
      <c r="B18" s="5"/>
      <c r="C18" s="2"/>
      <c r="D18" s="6"/>
    </row>
    <row r="19" spans="1:4" x14ac:dyDescent="0.25">
      <c r="A19" s="10"/>
      <c r="B19" s="5"/>
      <c r="C19" s="2"/>
    </row>
    <row r="20" spans="1:4" x14ac:dyDescent="0.25">
      <c r="A20" s="10"/>
      <c r="B20" s="5"/>
      <c r="C20" s="2"/>
    </row>
    <row r="21" spans="1:4" x14ac:dyDescent="0.25">
      <c r="A21" s="10"/>
      <c r="B21" s="5"/>
      <c r="C21" s="2"/>
    </row>
    <row r="22" spans="1:4" x14ac:dyDescent="0.25">
      <c r="A22" s="10"/>
      <c r="B22" s="5"/>
      <c r="C22" s="2"/>
    </row>
    <row r="23" spans="1:4" x14ac:dyDescent="0.25">
      <c r="A23" s="10"/>
      <c r="B23" s="5"/>
      <c r="C23" s="2"/>
    </row>
    <row r="24" spans="1:4" x14ac:dyDescent="0.25">
      <c r="A24" s="10"/>
      <c r="B24" s="5"/>
      <c r="C24" s="2"/>
    </row>
    <row r="25" spans="1:4" x14ac:dyDescent="0.25">
      <c r="A25" s="10"/>
      <c r="B25" s="5"/>
      <c r="C25" s="2"/>
    </row>
    <row r="26" spans="1:4" x14ac:dyDescent="0.25">
      <c r="A26" s="10"/>
      <c r="B26" s="5"/>
      <c r="C26" s="2"/>
    </row>
    <row r="27" spans="1:4" x14ac:dyDescent="0.25">
      <c r="A27" s="10"/>
      <c r="B27" s="5"/>
      <c r="C2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67E4F2-0591-4426-B2D2-A329B40A8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3rd Highest</vt:lpstr>
      <vt:lpstr>IDs - Text Formulas</vt:lpstr>
      <vt:lpstr>Simplify IF</vt:lpstr>
      <vt:lpstr>Simplify Formula</vt:lpstr>
      <vt:lpstr>Conditional SUMPRODUCT</vt:lpstr>
      <vt:lpstr>Date Formulas</vt:lpstr>
      <vt:lpstr>Reference Formulas</vt:lpstr>
      <vt:lpstr>2022 Report</vt:lpstr>
      <vt:lpstr>2023 Report</vt:lpstr>
      <vt:lpstr>2024 Report</vt:lpstr>
      <vt:lpstr>CurrentDate</vt:lpstr>
      <vt:lpstr>Numbers</vt:lpstr>
      <vt:lpstr>Selected_Year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Taylor</dc:creator>
  <cp:lastModifiedBy>Sebastian Taylor</cp:lastModifiedBy>
  <dcterms:created xsi:type="dcterms:W3CDTF">2024-03-27T22:26:32Z</dcterms:created>
  <dcterms:modified xsi:type="dcterms:W3CDTF">2024-05-07T22:46:28Z</dcterms:modified>
</cp:coreProperties>
</file>